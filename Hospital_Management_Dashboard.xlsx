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rabh\Pictures\"/>
    </mc:Choice>
  </mc:AlternateContent>
  <bookViews>
    <workbookView xWindow="0" yWindow="0" windowWidth="23040" windowHeight="9072" activeTab="3"/>
  </bookViews>
  <sheets>
    <sheet name="Hospital_Data" sheetId="1" r:id="rId1"/>
    <sheet name="Lists" sheetId="3" r:id="rId2"/>
    <sheet name="Pivot" sheetId="14" r:id="rId3"/>
    <sheet name="dashboard" sheetId="5" r:id="rId4"/>
  </sheets>
  <definedNames>
    <definedName name="_xlcn.WorksheetConnection_Hospital_Management_Dashboard1version1.xlsbTable11" hidden="1">Table1[]</definedName>
    <definedName name="Slicer_Disease">#N/A</definedName>
    <definedName name="Slicer_Doctor">#N/A</definedName>
    <definedName name="Slicer_Gender">#N/A</definedName>
  </definedNames>
  <calcPr calcId="162913"/>
  <pivotCaches>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Hospital_Management_Dashboard (1) (version 1).xlsb!Table1"/>
        </x15:modelTables>
      </x15:dataModel>
    </ext>
  </extLst>
</workbook>
</file>

<file path=xl/calcChain.xml><?xml version="1.0" encoding="utf-8"?>
<calcChain xmlns="http://schemas.openxmlformats.org/spreadsheetml/2006/main">
  <c r="B4" i="5" l="1"/>
  <c r="K4" i="5" l="1"/>
  <c r="H4" i="5"/>
  <c r="E4" i="5"/>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Hospital_Management_Dashboard (1) (version 1).xlsb!Table1" type="102" refreshedVersion="6" minRefreshableVersion="5">
    <extLst>
      <ext xmlns:x15="http://schemas.microsoft.com/office/spreadsheetml/2010/11/main" uri="{DE250136-89BD-433C-8126-D09CA5730AF9}">
        <x15:connection id="Table1" autoDelete="1">
          <x15:rangePr sourceName="_xlcn.WorksheetConnection_Hospital_Management_Dashboard1version1.xlsbTable11"/>
        </x15:connection>
      </ext>
    </extLst>
  </connection>
</connections>
</file>

<file path=xl/sharedStrings.xml><?xml version="1.0" encoding="utf-8"?>
<sst xmlns="http://schemas.openxmlformats.org/spreadsheetml/2006/main" count="5091" uniqueCount="1201">
  <si>
    <t>Patient ID</t>
  </si>
  <si>
    <t>Name</t>
  </si>
  <si>
    <t>Age</t>
  </si>
  <si>
    <t>Gender</t>
  </si>
  <si>
    <t>Disease</t>
  </si>
  <si>
    <t>Doctor</t>
  </si>
  <si>
    <t>Admission Date</t>
  </si>
  <si>
    <t>Discharge Date</t>
  </si>
  <si>
    <t>Month</t>
  </si>
  <si>
    <t>Stay Days</t>
  </si>
  <si>
    <t>Bill</t>
  </si>
  <si>
    <t>P0001</t>
  </si>
  <si>
    <t>Kiran Khan</t>
  </si>
  <si>
    <t>Male</t>
  </si>
  <si>
    <t>Migraine</t>
  </si>
  <si>
    <t>Dr. Khan</t>
  </si>
  <si>
    <t>P0002</t>
  </si>
  <si>
    <t>Arjun Rather</t>
  </si>
  <si>
    <t>Female</t>
  </si>
  <si>
    <t>Kidney Stone</t>
  </si>
  <si>
    <t>Dr. Kapoor</t>
  </si>
  <si>
    <t>P0003</t>
  </si>
  <si>
    <t>Priya Verma</t>
  </si>
  <si>
    <t>Diabetes</t>
  </si>
  <si>
    <t>Dr. Mehta</t>
  </si>
  <si>
    <t>P0004</t>
  </si>
  <si>
    <t>Imran Khan</t>
  </si>
  <si>
    <t>Heart Disease</t>
  </si>
  <si>
    <t>Dr. Verma</t>
  </si>
  <si>
    <t>P0005</t>
  </si>
  <si>
    <t>Kiran Rather</t>
  </si>
  <si>
    <t>Dengue</t>
  </si>
  <si>
    <t>P0006</t>
  </si>
  <si>
    <t>Priya Sharma</t>
  </si>
  <si>
    <t>Covid-19</t>
  </si>
  <si>
    <t>Dr. Sharma</t>
  </si>
  <si>
    <t>P0007</t>
  </si>
  <si>
    <t>Rohit Malik</t>
  </si>
  <si>
    <t>P0008</t>
  </si>
  <si>
    <t>Arjun Khan</t>
  </si>
  <si>
    <t>Pneumonia</t>
  </si>
  <si>
    <t>P0009</t>
  </si>
  <si>
    <t>Arjun Kumar</t>
  </si>
  <si>
    <t>Dr. Gupta</t>
  </si>
  <si>
    <t>P0010</t>
  </si>
  <si>
    <t>Priya Ali</t>
  </si>
  <si>
    <t>Asthma</t>
  </si>
  <si>
    <t>P0011</t>
  </si>
  <si>
    <t>Priya Malik</t>
  </si>
  <si>
    <t>Fever</t>
  </si>
  <si>
    <t>P0012</t>
  </si>
  <si>
    <t>Priya Kapoor</t>
  </si>
  <si>
    <t>P0013</t>
  </si>
  <si>
    <t>Imran Kapoor</t>
  </si>
  <si>
    <t>P0014</t>
  </si>
  <si>
    <t>Rahul Ali</t>
  </si>
  <si>
    <t>P0015</t>
  </si>
  <si>
    <t>Mehak Malik</t>
  </si>
  <si>
    <t>P0016</t>
  </si>
  <si>
    <t>Zara Gupta</t>
  </si>
  <si>
    <t>Dr. Ali</t>
  </si>
  <si>
    <t>P0017</t>
  </si>
  <si>
    <t>Imran Verma</t>
  </si>
  <si>
    <t>Dr. Singh</t>
  </si>
  <si>
    <t>P0018</t>
  </si>
  <si>
    <t>Pooja Kumar</t>
  </si>
  <si>
    <t>P0019</t>
  </si>
  <si>
    <t>Priya Gupta</t>
  </si>
  <si>
    <t>P0020</t>
  </si>
  <si>
    <t>Mehak Ali</t>
  </si>
  <si>
    <t>P0021</t>
  </si>
  <si>
    <t>Sara Verma</t>
  </si>
  <si>
    <t>P0022</t>
  </si>
  <si>
    <t>Adil Verma</t>
  </si>
  <si>
    <t>P0023</t>
  </si>
  <si>
    <t>Zara Sharma</t>
  </si>
  <si>
    <t>P0024</t>
  </si>
  <si>
    <t>Pooja Rather</t>
  </si>
  <si>
    <t>P0025</t>
  </si>
  <si>
    <t>Neha Kumar</t>
  </si>
  <si>
    <t>P0026</t>
  </si>
  <si>
    <t>P0027</t>
  </si>
  <si>
    <t>P0028</t>
  </si>
  <si>
    <t>Anita Khan</t>
  </si>
  <si>
    <t>P0029</t>
  </si>
  <si>
    <t>Zara Singh</t>
  </si>
  <si>
    <t>P0030</t>
  </si>
  <si>
    <t>Priya Rather</t>
  </si>
  <si>
    <t>P0031</t>
  </si>
  <si>
    <t>P0032</t>
  </si>
  <si>
    <t>Rohit Ali</t>
  </si>
  <si>
    <t>P0033</t>
  </si>
  <si>
    <t>Imran Kumar</t>
  </si>
  <si>
    <t>P0034</t>
  </si>
  <si>
    <t>Zara Malik</t>
  </si>
  <si>
    <t>P0035</t>
  </si>
  <si>
    <t>P0036</t>
  </si>
  <si>
    <t>Rahul Singh</t>
  </si>
  <si>
    <t>P0037</t>
  </si>
  <si>
    <t>Anita Ali</t>
  </si>
  <si>
    <t>P0038</t>
  </si>
  <si>
    <t>Anita Gupta</t>
  </si>
  <si>
    <t>P0039</t>
  </si>
  <si>
    <t>Hypertension</t>
  </si>
  <si>
    <t>P0040</t>
  </si>
  <si>
    <t>Sara Ali</t>
  </si>
  <si>
    <t>P0041</t>
  </si>
  <si>
    <t>P0042</t>
  </si>
  <si>
    <t>Vikas Khan</t>
  </si>
  <si>
    <t>P0043</t>
  </si>
  <si>
    <t>Arjun Singh</t>
  </si>
  <si>
    <t>P0044</t>
  </si>
  <si>
    <t>P0045</t>
  </si>
  <si>
    <t>Mehak Sharma</t>
  </si>
  <si>
    <t>P0046</t>
  </si>
  <si>
    <t>Aman Ali</t>
  </si>
  <si>
    <t>P0047</t>
  </si>
  <si>
    <t>Neha Ali</t>
  </si>
  <si>
    <t>P0048</t>
  </si>
  <si>
    <t>Anita Singh</t>
  </si>
  <si>
    <t>P0049</t>
  </si>
  <si>
    <t>Imran Malik</t>
  </si>
  <si>
    <t>P0050</t>
  </si>
  <si>
    <t>P0051</t>
  </si>
  <si>
    <t>Imran Rather</t>
  </si>
  <si>
    <t>P0052</t>
  </si>
  <si>
    <t>Rahul Rather</t>
  </si>
  <si>
    <t>P0053</t>
  </si>
  <si>
    <t>Sara Malik</t>
  </si>
  <si>
    <t>P0054</t>
  </si>
  <si>
    <t>P0055</t>
  </si>
  <si>
    <t>Zara Kumar</t>
  </si>
  <si>
    <t>P0056</t>
  </si>
  <si>
    <t>Priya Kumar</t>
  </si>
  <si>
    <t>P0057</t>
  </si>
  <si>
    <t>Kiran Malik</t>
  </si>
  <si>
    <t>P0058</t>
  </si>
  <si>
    <t>P0059</t>
  </si>
  <si>
    <t>Adil Malik</t>
  </si>
  <si>
    <t>P0060</t>
  </si>
  <si>
    <t>Neha Sharma</t>
  </si>
  <si>
    <t>P0061</t>
  </si>
  <si>
    <t>P0062</t>
  </si>
  <si>
    <t>Rohit Gupta</t>
  </si>
  <si>
    <t>P0063</t>
  </si>
  <si>
    <t>Zara Rather</t>
  </si>
  <si>
    <t>P0064</t>
  </si>
  <si>
    <t>Anita Sharma</t>
  </si>
  <si>
    <t>P0065</t>
  </si>
  <si>
    <t>Adil Kapoor</t>
  </si>
  <si>
    <t>P0066</t>
  </si>
  <si>
    <t>P0067</t>
  </si>
  <si>
    <t>Rohit Kapoor</t>
  </si>
  <si>
    <t>P0068</t>
  </si>
  <si>
    <t>P0069</t>
  </si>
  <si>
    <t>Anita Kapoor</t>
  </si>
  <si>
    <t>P0070</t>
  </si>
  <si>
    <t>Kiran Sharma</t>
  </si>
  <si>
    <t>P0071</t>
  </si>
  <si>
    <t>Sara Gupta</t>
  </si>
  <si>
    <t>P0072</t>
  </si>
  <si>
    <t>Vikas Kumar</t>
  </si>
  <si>
    <t>P0073</t>
  </si>
  <si>
    <t>Vikas Rather</t>
  </si>
  <si>
    <t>P0074</t>
  </si>
  <si>
    <t>Imran Singh</t>
  </si>
  <si>
    <t>P0075</t>
  </si>
  <si>
    <t>P0076</t>
  </si>
  <si>
    <t>P0077</t>
  </si>
  <si>
    <t>Imran Ali</t>
  </si>
  <si>
    <t>P0078</t>
  </si>
  <si>
    <t>P0079</t>
  </si>
  <si>
    <t>Pooja Singh</t>
  </si>
  <si>
    <t>P0080</t>
  </si>
  <si>
    <t>P0081</t>
  </si>
  <si>
    <t>P0082</t>
  </si>
  <si>
    <t>P0083</t>
  </si>
  <si>
    <t>Sara Rather</t>
  </si>
  <si>
    <t>P0084</t>
  </si>
  <si>
    <t>Sara Sharma</t>
  </si>
  <si>
    <t>P0085</t>
  </si>
  <si>
    <t>P0086</t>
  </si>
  <si>
    <t>Adil Kumar</t>
  </si>
  <si>
    <t>P0087</t>
  </si>
  <si>
    <t>P0088</t>
  </si>
  <si>
    <t>P0089</t>
  </si>
  <si>
    <t>Kiran Kumar</t>
  </si>
  <si>
    <t>P0090</t>
  </si>
  <si>
    <t>Pooja Sharma</t>
  </si>
  <si>
    <t>P0091</t>
  </si>
  <si>
    <t>Rahul Kumar</t>
  </si>
  <si>
    <t>P0092</t>
  </si>
  <si>
    <t>Rahul Kapoor</t>
  </si>
  <si>
    <t>P0093</t>
  </si>
  <si>
    <t>P0094</t>
  </si>
  <si>
    <t>P0095</t>
  </si>
  <si>
    <t>P0096</t>
  </si>
  <si>
    <t>Mehak Rather</t>
  </si>
  <si>
    <t>P0097</t>
  </si>
  <si>
    <t>P0098</t>
  </si>
  <si>
    <t>Mehak Verma</t>
  </si>
  <si>
    <t>P0099</t>
  </si>
  <si>
    <t>Mehak Khan</t>
  </si>
  <si>
    <t>P0100</t>
  </si>
  <si>
    <t>Aman Rather</t>
  </si>
  <si>
    <t>P0101</t>
  </si>
  <si>
    <t>P0102</t>
  </si>
  <si>
    <t>P0103</t>
  </si>
  <si>
    <t>Arjun Malik</t>
  </si>
  <si>
    <t>P0104</t>
  </si>
  <si>
    <t>Vikas Singh</t>
  </si>
  <si>
    <t>P0105</t>
  </si>
  <si>
    <t>Kiran Gupta</t>
  </si>
  <si>
    <t>P0106</t>
  </si>
  <si>
    <t>P0107</t>
  </si>
  <si>
    <t>P0108</t>
  </si>
  <si>
    <t>P0109</t>
  </si>
  <si>
    <t>P0110</t>
  </si>
  <si>
    <t>Pooja Ali</t>
  </si>
  <si>
    <t>P0111</t>
  </si>
  <si>
    <t>P0112</t>
  </si>
  <si>
    <t>Sara Khan</t>
  </si>
  <si>
    <t>P0113</t>
  </si>
  <si>
    <t>P0114</t>
  </si>
  <si>
    <t>P0115</t>
  </si>
  <si>
    <t>P0116</t>
  </si>
  <si>
    <t>P0117</t>
  </si>
  <si>
    <t>P0118</t>
  </si>
  <si>
    <t>P0119</t>
  </si>
  <si>
    <t>P0120</t>
  </si>
  <si>
    <t>P0121</t>
  </si>
  <si>
    <t>P0122</t>
  </si>
  <si>
    <t>Vikas Ali</t>
  </si>
  <si>
    <t>P0123</t>
  </si>
  <si>
    <t>P0124</t>
  </si>
  <si>
    <t>P0125</t>
  </si>
  <si>
    <t>P0126</t>
  </si>
  <si>
    <t>Aman Kumar</t>
  </si>
  <si>
    <t>P0127</t>
  </si>
  <si>
    <t>Arjun Kapoor</t>
  </si>
  <si>
    <t>P0128</t>
  </si>
  <si>
    <t>P0129</t>
  </si>
  <si>
    <t>Adil Rather</t>
  </si>
  <si>
    <t>P0130</t>
  </si>
  <si>
    <t>P0131</t>
  </si>
  <si>
    <t>P0132</t>
  </si>
  <si>
    <t>Rahul Gupta</t>
  </si>
  <si>
    <t>P0133</t>
  </si>
  <si>
    <t>Mehak Gupta</t>
  </si>
  <si>
    <t>P0134</t>
  </si>
  <si>
    <t>Aman Khan</t>
  </si>
  <si>
    <t>P0135</t>
  </si>
  <si>
    <t>Mehak Kumar</t>
  </si>
  <si>
    <t>P0136</t>
  </si>
  <si>
    <t>P0137</t>
  </si>
  <si>
    <t>P0138</t>
  </si>
  <si>
    <t>P0139</t>
  </si>
  <si>
    <t>Anita Malik</t>
  </si>
  <si>
    <t>P0140</t>
  </si>
  <si>
    <t>P0141</t>
  </si>
  <si>
    <t>Kiran Verma</t>
  </si>
  <si>
    <t>P0142</t>
  </si>
  <si>
    <t>P0143</t>
  </si>
  <si>
    <t>P0144</t>
  </si>
  <si>
    <t>P0145</t>
  </si>
  <si>
    <t>Mehak Kapoor</t>
  </si>
  <si>
    <t>P0146</t>
  </si>
  <si>
    <t>P0147</t>
  </si>
  <si>
    <t>Arjun Ali</t>
  </si>
  <si>
    <t>P0148</t>
  </si>
  <si>
    <t>P0149</t>
  </si>
  <si>
    <t>P0150</t>
  </si>
  <si>
    <t>P0151</t>
  </si>
  <si>
    <t>P0152</t>
  </si>
  <si>
    <t>Imran Gupta</t>
  </si>
  <si>
    <t>P0153</t>
  </si>
  <si>
    <t>Neha Gupta</t>
  </si>
  <si>
    <t>P0154</t>
  </si>
  <si>
    <t>P0155</t>
  </si>
  <si>
    <t>P0156</t>
  </si>
  <si>
    <t>P0157</t>
  </si>
  <si>
    <t>P0158</t>
  </si>
  <si>
    <t>P0159</t>
  </si>
  <si>
    <t>P0160</t>
  </si>
  <si>
    <t>Sara Kapoor</t>
  </si>
  <si>
    <t>P0161</t>
  </si>
  <si>
    <t>P0162</t>
  </si>
  <si>
    <t>P0163</t>
  </si>
  <si>
    <t>P0164</t>
  </si>
  <si>
    <t>Neha Kapoor</t>
  </si>
  <si>
    <t>P0165</t>
  </si>
  <si>
    <t>P0166</t>
  </si>
  <si>
    <t>P0167</t>
  </si>
  <si>
    <t>P0168</t>
  </si>
  <si>
    <t>P0169</t>
  </si>
  <si>
    <t>Pooja Verma</t>
  </si>
  <si>
    <t>P0170</t>
  </si>
  <si>
    <t>P0171</t>
  </si>
  <si>
    <t>Vikas Sharma</t>
  </si>
  <si>
    <t>P0172</t>
  </si>
  <si>
    <t>P0173</t>
  </si>
  <si>
    <t>P0174</t>
  </si>
  <si>
    <t>Mehak Singh</t>
  </si>
  <si>
    <t>P0175</t>
  </si>
  <si>
    <t>Kiran Kapoor</t>
  </si>
  <si>
    <t>P0176</t>
  </si>
  <si>
    <t>P0177</t>
  </si>
  <si>
    <t>Neha Singh</t>
  </si>
  <si>
    <t>P0178</t>
  </si>
  <si>
    <t>Pooja Gupta</t>
  </si>
  <si>
    <t>P0179</t>
  </si>
  <si>
    <t>P0180</t>
  </si>
  <si>
    <t>P0181</t>
  </si>
  <si>
    <t>Vikas Verma</t>
  </si>
  <si>
    <t>P0182</t>
  </si>
  <si>
    <t>P0183</t>
  </si>
  <si>
    <t>P0184</t>
  </si>
  <si>
    <t>P0185</t>
  </si>
  <si>
    <t>P0186</t>
  </si>
  <si>
    <t>P0187</t>
  </si>
  <si>
    <t>P0188</t>
  </si>
  <si>
    <t>P0189</t>
  </si>
  <si>
    <t>P0190</t>
  </si>
  <si>
    <t>Vikas Malik</t>
  </si>
  <si>
    <t>P0191</t>
  </si>
  <si>
    <t>P0192</t>
  </si>
  <si>
    <t>Rahul Malik</t>
  </si>
  <si>
    <t>P0193</t>
  </si>
  <si>
    <t>P0194</t>
  </si>
  <si>
    <t>P0195</t>
  </si>
  <si>
    <t>P0196</t>
  </si>
  <si>
    <t>Adil Sharma</t>
  </si>
  <si>
    <t>P0197</t>
  </si>
  <si>
    <t>P0198</t>
  </si>
  <si>
    <t>P0199</t>
  </si>
  <si>
    <t>Zara Ali</t>
  </si>
  <si>
    <t>P0200</t>
  </si>
  <si>
    <t>P0201</t>
  </si>
  <si>
    <t>P0202</t>
  </si>
  <si>
    <t>P0203</t>
  </si>
  <si>
    <t>P0204</t>
  </si>
  <si>
    <t>P0205</t>
  </si>
  <si>
    <t>Zara Khan</t>
  </si>
  <si>
    <t>P0206</t>
  </si>
  <si>
    <t>Arjun Gupta</t>
  </si>
  <si>
    <t>P0207</t>
  </si>
  <si>
    <t>Aman Sharma</t>
  </si>
  <si>
    <t>P0208</t>
  </si>
  <si>
    <t>P0209</t>
  </si>
  <si>
    <t>P0210</t>
  </si>
  <si>
    <t>P0211</t>
  </si>
  <si>
    <t>P0212</t>
  </si>
  <si>
    <t>P0213</t>
  </si>
  <si>
    <t>P0214</t>
  </si>
  <si>
    <t>Priya Khan</t>
  </si>
  <si>
    <t>P0215</t>
  </si>
  <si>
    <t>P0216</t>
  </si>
  <si>
    <t>P0217</t>
  </si>
  <si>
    <t>P0218</t>
  </si>
  <si>
    <t>P0219</t>
  </si>
  <si>
    <t>P0220</t>
  </si>
  <si>
    <t>P0221</t>
  </si>
  <si>
    <t>Anita Verma</t>
  </si>
  <si>
    <t>P0222</t>
  </si>
  <si>
    <t>P0223</t>
  </si>
  <si>
    <t>P0224</t>
  </si>
  <si>
    <t>P0225</t>
  </si>
  <si>
    <t>Priya Singh</t>
  </si>
  <si>
    <t>P0226</t>
  </si>
  <si>
    <t>P0227</t>
  </si>
  <si>
    <t>P0228</t>
  </si>
  <si>
    <t>P0229</t>
  </si>
  <si>
    <t>Rohit Rather</t>
  </si>
  <si>
    <t>P0230</t>
  </si>
  <si>
    <t>P0231</t>
  </si>
  <si>
    <t>P0232</t>
  </si>
  <si>
    <t>Arjun Sharma</t>
  </si>
  <si>
    <t>P0233</t>
  </si>
  <si>
    <t>Aman Verma</t>
  </si>
  <si>
    <t>P0234</t>
  </si>
  <si>
    <t>Aman Malik</t>
  </si>
  <si>
    <t>P0235</t>
  </si>
  <si>
    <t>Aman Gupta</t>
  </si>
  <si>
    <t>P0236</t>
  </si>
  <si>
    <t>P0237</t>
  </si>
  <si>
    <t>P0238</t>
  </si>
  <si>
    <t>P0239</t>
  </si>
  <si>
    <t>P0240</t>
  </si>
  <si>
    <t>P0241</t>
  </si>
  <si>
    <t>P0242</t>
  </si>
  <si>
    <t>P0243</t>
  </si>
  <si>
    <t>Imran Sharma</t>
  </si>
  <si>
    <t>P0244</t>
  </si>
  <si>
    <t>P0245</t>
  </si>
  <si>
    <t>P0246</t>
  </si>
  <si>
    <t>Rohit Khan</t>
  </si>
  <si>
    <t>P0247</t>
  </si>
  <si>
    <t>P0248</t>
  </si>
  <si>
    <t>Rohit Sharma</t>
  </si>
  <si>
    <t>P0249</t>
  </si>
  <si>
    <t>P0250</t>
  </si>
  <si>
    <t>P0251</t>
  </si>
  <si>
    <t>P0252</t>
  </si>
  <si>
    <t>P0253</t>
  </si>
  <si>
    <t>P0254</t>
  </si>
  <si>
    <t>P0255</t>
  </si>
  <si>
    <t>P0256</t>
  </si>
  <si>
    <t>P0257</t>
  </si>
  <si>
    <t>P0258</t>
  </si>
  <si>
    <t>P0259</t>
  </si>
  <si>
    <t>Rohit Singh</t>
  </si>
  <si>
    <t>P0260</t>
  </si>
  <si>
    <t>Anita Kumar</t>
  </si>
  <si>
    <t>P0261</t>
  </si>
  <si>
    <t>P0262</t>
  </si>
  <si>
    <t>P0263</t>
  </si>
  <si>
    <t>P0264</t>
  </si>
  <si>
    <t>P0265</t>
  </si>
  <si>
    <t>P0266</t>
  </si>
  <si>
    <t>P0267</t>
  </si>
  <si>
    <t>Rahul Sharma</t>
  </si>
  <si>
    <t>P0268</t>
  </si>
  <si>
    <t>P0269</t>
  </si>
  <si>
    <t>P0270</t>
  </si>
  <si>
    <t>P0271</t>
  </si>
  <si>
    <t>P0272</t>
  </si>
  <si>
    <t>P0273</t>
  </si>
  <si>
    <t>Neha Malik</t>
  </si>
  <si>
    <t>P0274</t>
  </si>
  <si>
    <t>Zara Kapoor</t>
  </si>
  <si>
    <t>P0275</t>
  </si>
  <si>
    <t>P0276</t>
  </si>
  <si>
    <t>Zara Verma</t>
  </si>
  <si>
    <t>P0277</t>
  </si>
  <si>
    <t>P0278</t>
  </si>
  <si>
    <t>P0279</t>
  </si>
  <si>
    <t>Vikas Gupta</t>
  </si>
  <si>
    <t>P0280</t>
  </si>
  <si>
    <t>P0281</t>
  </si>
  <si>
    <t>P0282</t>
  </si>
  <si>
    <t>P0283</t>
  </si>
  <si>
    <t>P0284</t>
  </si>
  <si>
    <t>P0285</t>
  </si>
  <si>
    <t>P0286</t>
  </si>
  <si>
    <t>P0287</t>
  </si>
  <si>
    <t>P0288</t>
  </si>
  <si>
    <t>Adil Ali</t>
  </si>
  <si>
    <t>P0289</t>
  </si>
  <si>
    <t>P0290</t>
  </si>
  <si>
    <t>P0291</t>
  </si>
  <si>
    <t>P0292</t>
  </si>
  <si>
    <t>P0293</t>
  </si>
  <si>
    <t>P0294</t>
  </si>
  <si>
    <t>P0295</t>
  </si>
  <si>
    <t>P0296</t>
  </si>
  <si>
    <t>P0297</t>
  </si>
  <si>
    <t>Pooja Malik</t>
  </si>
  <si>
    <t>P0298</t>
  </si>
  <si>
    <t>P0299</t>
  </si>
  <si>
    <t>P0300</t>
  </si>
  <si>
    <t>P0301</t>
  </si>
  <si>
    <t>P0302</t>
  </si>
  <si>
    <t>Kiran Singh</t>
  </si>
  <si>
    <t>P0303</t>
  </si>
  <si>
    <t>P0304</t>
  </si>
  <si>
    <t>Arjun Verma</t>
  </si>
  <si>
    <t>P0305</t>
  </si>
  <si>
    <t>P0306</t>
  </si>
  <si>
    <t>Vikas Kapoor</t>
  </si>
  <si>
    <t>P0307</t>
  </si>
  <si>
    <t>P0308</t>
  </si>
  <si>
    <t>P0309</t>
  </si>
  <si>
    <t>Aman Singh</t>
  </si>
  <si>
    <t>P0310</t>
  </si>
  <si>
    <t>P0311</t>
  </si>
  <si>
    <t>P0312</t>
  </si>
  <si>
    <t>Sara Kumar</t>
  </si>
  <si>
    <t>P0313</t>
  </si>
  <si>
    <t>P0314</t>
  </si>
  <si>
    <t>P0315</t>
  </si>
  <si>
    <t>P0316</t>
  </si>
  <si>
    <t>P0317</t>
  </si>
  <si>
    <t>Adil Gupta</t>
  </si>
  <si>
    <t>P0318</t>
  </si>
  <si>
    <t>P0319</t>
  </si>
  <si>
    <t>Adil Singh</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</si>
  <si>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</si>
  <si>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</si>
  <si>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</si>
  <si>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</si>
  <si>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</si>
  <si>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</si>
  <si>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</si>
  <si>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</si>
  <si>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</si>
  <si>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</si>
  <si>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</si>
  <si>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</si>
  <si>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</si>
  <si>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</si>
  <si>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</si>
  <si>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</si>
  <si>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</si>
  <si>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</si>
  <si>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</si>
  <si>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</si>
  <si>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</si>
  <si>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</si>
  <si>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</si>
  <si>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</si>
  <si>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</si>
  <si>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</si>
  <si>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</si>
  <si>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</si>
  <si>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</si>
  <si>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</si>
  <si>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</si>
  <si>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</si>
  <si>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</si>
  <si>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</si>
  <si>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</si>
  <si>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</si>
  <si>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</si>
  <si>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</si>
  <si>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</si>
  <si>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</si>
  <si>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</si>
  <si>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</si>
  <si>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</si>
  <si>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</si>
  <si>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</si>
  <si>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</si>
  <si>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</si>
  <si>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</si>
  <si>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</si>
  <si>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</si>
  <si>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</si>
  <si>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</si>
  <si>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</si>
  <si>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</si>
  <si>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</si>
  <si>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</si>
  <si>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</si>
  <si>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</si>
  <si>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</si>
  <si>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</si>
  <si>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</si>
  <si>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</si>
  <si>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</si>
  <si>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</si>
  <si>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</si>
  <si>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Kiran Ali</t>
  </si>
  <si>
    <t>P0385</t>
  </si>
  <si>
    <t>P0386</t>
  </si>
  <si>
    <t>P0387</t>
  </si>
  <si>
    <t>Rahul Verma</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</si>
  <si>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</si>
  <si>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</si>
  <si>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</si>
  <si>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</si>
  <si>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</si>
  <si>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</si>
  <si>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</si>
  <si>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</si>
  <si>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</si>
  <si>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</si>
  <si>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</si>
  <si>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</si>
  <si>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</si>
  <si>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</si>
  <si>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</si>
  <si>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</si>
  <si>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</si>
  <si>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</si>
  <si>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</si>
  <si>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</si>
  <si>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</si>
  <si>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</si>
  <si>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</si>
  <si>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</si>
  <si>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Pooja Khan</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</si>
  <si>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</si>
  <si>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</si>
  <si>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</si>
  <si>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</si>
  <si>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</si>
  <si>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</si>
  <si>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</si>
  <si>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</si>
  <si>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</si>
  <si>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</si>
  <si>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</si>
  <si>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</si>
  <si>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</si>
  <si>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</si>
  <si>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</si>
  <si>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</si>
  <si>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</si>
  <si>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</si>
  <si>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</si>
  <si>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</si>
  <si>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</si>
  <si>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</si>
  <si>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Aman Kapoor</t>
  </si>
  <si>
    <t>P0434</t>
  </si>
  <si>
    <t>P0435</t>
  </si>
  <si>
    <t>P0436</t>
  </si>
  <si>
    <t>P0437</t>
  </si>
  <si>
    <t>P0438</t>
  </si>
  <si>
    <t>P0439</t>
  </si>
  <si>
    <t>P0440</t>
  </si>
  <si>
    <t>P0441</t>
  </si>
  <si>
    <t>P0442</t>
  </si>
  <si>
    <t>P0443</t>
  </si>
  <si>
    <t>P0444</t>
  </si>
  <si>
    <t>P0445</t>
  </si>
  <si>
    <t>Sara Singh</t>
  </si>
  <si>
    <t>P0446</t>
  </si>
  <si>
    <t>P0447</t>
  </si>
  <si>
    <t>P0448</t>
  </si>
  <si>
    <t>P0449</t>
  </si>
  <si>
    <t>P0450</t>
  </si>
  <si>
    <t>P0451</t>
  </si>
  <si>
    <t>P0452</t>
  </si>
  <si>
    <t>P0453</t>
  </si>
  <si>
    <t>P0454</t>
  </si>
  <si>
    <t>P0455</t>
  </si>
  <si>
    <t>Rohit Kumar</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</si>
  <si>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</si>
  <si>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</si>
  <si>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</si>
  <si>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</si>
  <si>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</si>
  <si>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</si>
  <si>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</si>
  <si>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</si>
  <si>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</si>
  <si>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</si>
  <si>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</si>
  <si>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</si>
  <si>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</si>
  <si>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</si>
  <si>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</si>
  <si>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</si>
  <si>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</si>
  <si>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</si>
  <si>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</si>
  <si>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</si>
  <si>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</si>
  <si>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</si>
  <si>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</si>
  <si>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</si>
  <si>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</si>
  <si>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</si>
  <si>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</si>
  <si>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</si>
  <si>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</si>
  <si>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Rahul Khan</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</si>
  <si>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</si>
  <si>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</si>
  <si>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</si>
  <si>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</si>
  <si>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</si>
  <si>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</si>
  <si>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</si>
  <si>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</si>
  <si>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</si>
  <si>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</si>
  <si>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</si>
  <si>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</si>
  <si>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</si>
  <si>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</si>
  <si>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</si>
  <si>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</si>
  <si>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</si>
  <si>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</si>
  <si>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</si>
  <si>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</si>
  <si>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</si>
  <si>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</si>
  <si>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</si>
  <si>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</si>
  <si>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</si>
  <si>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Adil Khan</t>
  </si>
  <si>
    <t>P0510</t>
  </si>
  <si>
    <t>P0511</t>
  </si>
  <si>
    <t>P0512</t>
  </si>
  <si>
    <t>P0513</t>
  </si>
  <si>
    <t>P0514</t>
  </si>
  <si>
    <t>P0515</t>
  </si>
  <si>
    <t>P0516</t>
  </si>
  <si>
    <t>Neha Rather</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</si>
  <si>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</si>
  <si>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</si>
  <si>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</si>
  <si>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</si>
  <si>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</si>
  <si>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</si>
  <si>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</si>
  <si>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</si>
  <si>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</si>
  <si>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</si>
  <si>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</si>
  <si>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</si>
  <si>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</si>
  <si>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</si>
  <si>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</si>
  <si>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</si>
  <si>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</si>
  <si>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</si>
  <si>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</si>
  <si>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</si>
  <si>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</si>
  <si>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Neha Verma</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</si>
  <si>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</si>
  <si>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</si>
  <si>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</si>
  <si>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</si>
  <si>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</si>
  <si>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</si>
  <si>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</si>
  <si>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</si>
  <si>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</si>
  <si>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</si>
  <si>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</si>
  <si>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</si>
  <si>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</si>
  <si>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</si>
  <si>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</si>
  <si>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</si>
  <si>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</si>
  <si>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</si>
  <si>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</si>
  <si>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</si>
  <si>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</si>
  <si>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</si>
  <si>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</si>
  <si>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</si>
  <si>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</si>
  <si>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</si>
  <si>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</si>
  <si>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</si>
  <si>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</si>
  <si>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</si>
  <si>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</si>
  <si>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</si>
  <si>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</si>
  <si>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</si>
  <si>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</si>
  <si>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</si>
  <si>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</si>
  <si>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</si>
  <si>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</si>
  <si>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</si>
  <si>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</si>
  <si>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</si>
  <si>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</si>
  <si>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</si>
  <si>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</si>
  <si>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</si>
  <si>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Neha Khan</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</si>
  <si>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</si>
  <si>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</si>
  <si>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</si>
  <si>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</si>
  <si>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</si>
  <si>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</si>
  <si>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</si>
  <si>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</si>
  <si>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</si>
  <si>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</si>
  <si>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</si>
  <si>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</si>
  <si>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</si>
  <si>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</si>
  <si>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</si>
  <si>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</si>
  <si>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</si>
  <si>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</si>
  <si>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</si>
  <si>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</si>
  <si>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</si>
  <si>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</si>
  <si>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</si>
  <si>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</si>
  <si>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</si>
  <si>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</si>
  <si>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</si>
  <si>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</si>
  <si>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</si>
  <si>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</si>
  <si>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</si>
  <si>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</si>
  <si>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Pooja Kapoor</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</si>
  <si>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</si>
  <si>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</si>
  <si>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</si>
  <si>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</si>
  <si>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</si>
  <si>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</si>
  <si>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</si>
  <si>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</si>
  <si>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</si>
  <si>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</si>
  <si>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</si>
  <si>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</si>
  <si>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</si>
  <si>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</si>
  <si>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</si>
  <si>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</si>
  <si>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</si>
  <si>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</si>
  <si>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</si>
  <si>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</si>
  <si>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</si>
  <si>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</si>
  <si>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</si>
  <si>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</si>
  <si>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</si>
  <si>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</si>
  <si>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</si>
  <si>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</si>
  <si>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</si>
  <si>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</si>
  <si>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</si>
  <si>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</si>
  <si>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</si>
  <si>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</si>
  <si>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</si>
  <si>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</si>
  <si>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</si>
  <si>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</si>
  <si>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</si>
  <si>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</si>
  <si>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</si>
  <si>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</si>
  <si>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</si>
  <si>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</si>
  <si>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</si>
  <si>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</si>
  <si>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</si>
  <si>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</si>
  <si>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</si>
  <si>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</si>
  <si>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</si>
  <si>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</si>
  <si>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</si>
  <si>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</si>
  <si>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</si>
  <si>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</si>
  <si>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</si>
  <si>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</si>
  <si>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</si>
  <si>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</si>
  <si>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</si>
  <si>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</si>
  <si>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</si>
  <si>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</si>
  <si>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</si>
  <si>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</si>
  <si>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</si>
  <si>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</si>
  <si>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</si>
  <si>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</si>
  <si>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</si>
  <si>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</si>
  <si>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</si>
  <si>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</si>
  <si>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</si>
  <si>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</si>
  <si>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</si>
  <si>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</si>
  <si>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</si>
  <si>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</si>
  <si>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</si>
  <si>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</si>
  <si>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</si>
  <si>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</si>
  <si>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</si>
  <si>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</si>
  <si>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</si>
  <si>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</si>
  <si>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</si>
  <si>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</si>
  <si>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</si>
  <si>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</si>
  <si>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</si>
  <si>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</si>
  <si>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</si>
  <si>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</si>
  <si>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</si>
  <si>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</si>
  <si>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</si>
  <si>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</si>
  <si>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</si>
  <si>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</si>
  <si>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</si>
  <si>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</si>
  <si>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</si>
  <si>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</si>
  <si>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</si>
  <si>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Rohit Verma</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</si>
  <si>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</si>
  <si>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</si>
  <si>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</si>
  <si>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</si>
  <si>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</si>
  <si>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</si>
  <si>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</si>
  <si>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</si>
  <si>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</si>
  <si>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</si>
  <si>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</si>
  <si>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</si>
  <si>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</si>
  <si>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</si>
  <si>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</si>
  <si>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</si>
  <si>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</si>
  <si>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</si>
  <si>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</si>
  <si>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</si>
  <si>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</si>
  <si>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</si>
  <si>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</si>
  <si>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</si>
  <si>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</si>
  <si>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</si>
  <si>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</si>
  <si>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</si>
  <si>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</si>
  <si>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</si>
  <si>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</si>
  <si>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</si>
  <si>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</si>
  <si>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</si>
  <si>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</si>
  <si>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</si>
  <si>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</si>
  <si>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</si>
  <si>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</si>
  <si>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</si>
  <si>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</si>
  <si>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</si>
  <si>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</si>
  <si>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</si>
  <si>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</si>
  <si>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</si>
  <si>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</si>
  <si>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</si>
  <si>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</si>
  <si>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</si>
  <si>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</si>
  <si>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</si>
  <si>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</si>
  <si>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</si>
  <si>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</si>
  <si>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</si>
  <si>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</si>
  <si>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</si>
  <si>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</si>
  <si>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</si>
  <si>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</si>
  <si>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</si>
  <si>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</si>
  <si>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</si>
  <si>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</si>
  <si>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</si>
  <si>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</si>
  <si>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</si>
  <si>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</si>
  <si>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</si>
  <si>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</si>
  <si>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</si>
  <si>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</si>
  <si>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</si>
  <si>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</si>
  <si>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</si>
  <si>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</si>
  <si>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</si>
  <si>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</si>
  <si>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</si>
  <si>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</si>
  <si>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</si>
  <si>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</si>
  <si>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</si>
  <si>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</si>
  <si>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</si>
  <si>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</si>
  <si>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</si>
  <si>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</si>
  <si>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</si>
  <si>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</si>
  <si>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</si>
  <si>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</si>
  <si>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</si>
  <si>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</si>
  <si>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</si>
  <si>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</si>
  <si>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</si>
  <si>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</si>
  <si>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</si>
  <si>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</si>
  <si>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</si>
  <si>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</si>
  <si>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</si>
  <si>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</si>
  <si>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</si>
  <si>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</si>
  <si>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</si>
  <si>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</si>
  <si>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</si>
  <si>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</si>
  <si>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</si>
  <si>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</si>
  <si>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</si>
  <si>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</si>
  <si>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</si>
  <si>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</si>
  <si>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</si>
  <si>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</si>
  <si>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</si>
  <si>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</si>
  <si>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</si>
  <si>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</si>
  <si>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</si>
  <si>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</si>
  <si>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</si>
  <si>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</si>
  <si>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</si>
  <si>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</si>
  <si>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</si>
  <si>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</si>
  <si>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</si>
  <si>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</si>
  <si>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</si>
  <si>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</si>
  <si>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</si>
  <si>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</si>
  <si>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</si>
  <si>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</si>
  <si>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</si>
  <si>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</si>
  <si>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</si>
  <si>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</si>
  <si>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</si>
  <si>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</si>
  <si>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</si>
  <si>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</si>
  <si>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</si>
  <si>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</si>
  <si>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</si>
  <si>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</si>
  <si>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</si>
  <si>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</si>
  <si>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</si>
  <si>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</si>
  <si>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</si>
  <si>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</si>
  <si>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</si>
  <si>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</si>
  <si>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</si>
  <si>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</si>
  <si>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</si>
  <si>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</si>
  <si>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</si>
  <si>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</si>
  <si>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</si>
  <si>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</si>
  <si>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</si>
  <si>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</si>
  <si>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</si>
  <si>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</si>
  <si>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</si>
  <si>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</si>
  <si>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</si>
  <si>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</si>
  <si>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</si>
  <si>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</si>
  <si>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</si>
  <si>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</si>
  <si>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</si>
  <si>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</si>
  <si>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</si>
  <si>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</si>
  <si>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</si>
  <si>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</si>
  <si>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</si>
  <si>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</si>
  <si>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</si>
  <si>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</si>
  <si>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</si>
  <si>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</si>
  <si>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</si>
  <si>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</si>
  <si>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</si>
  <si>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</si>
  <si>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</si>
  <si>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</si>
  <si>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</si>
  <si>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</si>
  <si>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</si>
  <si>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</si>
  <si>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</si>
  <si>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</si>
  <si>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</si>
  <si>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</si>
  <si>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</si>
  <si>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</si>
  <si>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</si>
  <si>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</si>
  <si>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</si>
  <si>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</si>
  <si>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</si>
  <si>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</si>
  <si>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</si>
  <si>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</si>
  <si>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</si>
  <si>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</si>
  <si>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</si>
  <si>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</si>
  <si>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</si>
  <si>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</si>
  <si>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</si>
  <si>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</si>
  <si>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</si>
  <si>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</si>
  <si>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</si>
  <si>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</si>
  <si>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</si>
  <si>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</si>
  <si>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</si>
  <si>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</si>
  <si>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</si>
  <si>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</si>
  <si>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</si>
  <si>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</si>
  <si>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</si>
  <si>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</si>
  <si>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</si>
  <si>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</si>
  <si>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</si>
  <si>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</si>
  <si>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</si>
  <si>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</si>
  <si>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</si>
  <si>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</si>
  <si>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</si>
  <si>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</si>
  <si>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</si>
  <si>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</si>
  <si>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</si>
  <si>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</si>
  <si>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</si>
  <si>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</si>
  <si>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</si>
  <si>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</si>
  <si>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</si>
  <si>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</si>
  <si>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</si>
  <si>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</si>
  <si>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</si>
  <si>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</si>
  <si>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</si>
  <si>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</si>
  <si>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</si>
  <si>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</si>
  <si>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</si>
  <si>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</si>
  <si>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</si>
  <si>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</si>
  <si>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</si>
  <si>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</si>
  <si>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</si>
  <si>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</si>
  <si>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</si>
  <si>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</si>
  <si>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</si>
  <si>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</si>
  <si>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</si>
  <si>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Count of Patient ID</t>
  </si>
  <si>
    <t>Sum of Bill</t>
  </si>
  <si>
    <t>Grand Total</t>
  </si>
  <si>
    <t>January</t>
  </si>
  <si>
    <t>February</t>
  </si>
  <si>
    <t>March</t>
  </si>
  <si>
    <t>April</t>
  </si>
  <si>
    <t>May</t>
  </si>
  <si>
    <t>June</t>
  </si>
  <si>
    <t>July</t>
  </si>
  <si>
    <t>August</t>
  </si>
  <si>
    <t>September</t>
  </si>
  <si>
    <t>October</t>
  </si>
  <si>
    <t>November</t>
  </si>
  <si>
    <t>December</t>
  </si>
  <si>
    <t>Hospital Management Dashboard</t>
  </si>
  <si>
    <t>Total Patients</t>
  </si>
  <si>
    <t>Total Revenue</t>
  </si>
  <si>
    <t>Average Stay</t>
  </si>
  <si>
    <t>Average Bill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</si>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</sst>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_ [$₹-4009]\ * #,##0.00_ ;_ [$₹-4009]\ * \-#,##0.00_ ;_ [$₹-4009]\ * &quot;-&quot;??_ ;_ @_ "/>
  </numFmts>
  <fonts count="4" x14ac:knownFonts="1">
    <font>
      <sz val="11"/>
      <color theme="1"/>
      <name val="Calibri"/>
      <family val="2"/>
      <scheme val="minor"/>
    </font>
    <font>
      <b/>
      <sz val="20"/>
      <color rgb="FFFFFFFF"/>
      <name val="Calibri"/>
      <family val="2"/>
      <scheme val="minor"/>
    </font>
    <font>
      <sz val="11"/>
      <color rgb="FFFFFFFF"/>
      <name val="Calibri"/>
      <family val="2"/>
      <scheme val="minor"/>
    </font>
    <font>
      <sz val="11"/>
      <color theme="0"/>
      <name val="Calibri"/>
      <family val="2"/>
      <scheme val="minor"/>
    </font>
  </fonts>
  <fills count="5">
    <fill>
      <patternFill patternType="none"/>
    </fill>
    <fill>
      <patternFill patternType="gray125"/>
    </fill>
    <fill>
      <patternFill patternType="solid">
        <fgColor theme="8" tint="-0.249977111117893"/>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7">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19">
    <xf numFmtId="0" fontId="0" fillId="0" borderId="0" xfId="0"/>
    <xf numFmtId="164" fontId="0" fillId="0" borderId="0" xfId="0" applyNumberFormat="1"/>
    <xf numFmtId="0" fontId="0" fillId="0" borderId="0" xfId="0" pivotButton="1"/>
    <xf numFmtId="0" fontId="0" fillId="0" borderId="0" xfId="0" applyNumberFormat="1"/>
    <xf numFmtId="0" fontId="0" fillId="0" borderId="0" xfId="0" applyAlignment="1">
      <alignment horizontal="left"/>
    </xf>
    <xf numFmtId="0" fontId="2" fillId="2" borderId="0" xfId="0" applyFont="1" applyFill="1" applyAlignment="1">
      <alignment horizontal="center" vertical="center"/>
    </xf>
    <xf numFmtId="0" fontId="3" fillId="2" borderId="0" xfId="0" applyFont="1" applyFill="1" applyAlignment="1">
      <alignment horizontal="center" vertical="center"/>
    </xf>
    <xf numFmtId="165" fontId="3" fillId="2" borderId="0" xfId="0" applyNumberFormat="1" applyFont="1" applyFill="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vertical="center"/>
    </xf>
    <xf numFmtId="0" fontId="0" fillId="3" borderId="1" xfId="0" applyFont="1" applyFill="1" applyBorder="1" applyAlignment="1">
      <alignment vertical="center" wrapText="1"/>
    </xf>
    <xf numFmtId="0" fontId="0" fillId="3" borderId="2" xfId="0" applyFont="1" applyFill="1" applyBorder="1" applyAlignment="1">
      <alignment vertical="center" wrapText="1"/>
    </xf>
    <xf numFmtId="0" fontId="0" fillId="3" borderId="3" xfId="0" applyFont="1" applyFill="1" applyBorder="1" applyAlignment="1">
      <alignment vertical="center" wrapText="1"/>
    </xf>
    <xf numFmtId="0" fontId="0" fillId="4" borderId="1" xfId="0" applyFont="1" applyFill="1" applyBorder="1" applyAlignment="1">
      <alignment vertical="center" wrapText="1"/>
    </xf>
    <xf numFmtId="0" fontId="0" fillId="4" borderId="2" xfId="0" applyFont="1" applyFill="1" applyBorder="1" applyAlignment="1">
      <alignment vertical="center" wrapText="1"/>
    </xf>
    <xf numFmtId="0" fontId="0" fillId="4" borderId="3" xfId="0" applyFont="1" applyFill="1" applyBorder="1" applyAlignment="1">
      <alignment vertical="center" wrapText="1"/>
    </xf>
    <xf numFmtId="0" fontId="0" fillId="4" borderId="4" xfId="0" applyFont="1" applyFill="1" applyBorder="1" applyAlignment="1">
      <alignment vertical="center" wrapText="1"/>
    </xf>
    <xf numFmtId="0" fontId="0" fillId="4" borderId="5" xfId="0" applyFont="1" applyFill="1" applyBorder="1" applyAlignment="1">
      <alignment vertical="center" wrapText="1"/>
    </xf>
    <xf numFmtId="0" fontId="0" fillId="4" borderId="6" xfId="0" applyFont="1" applyFill="1" applyBorder="1" applyAlignment="1">
      <alignment vertical="center" wrapText="1"/>
    </xf>
  </cellXfs>
  <cellStyles count="1">
    <cellStyle name="Normal" xfId="0" builtinId="0"/>
  </cellStyles>
  <dxfs count="3">
    <dxf>
      <numFmt numFmtId="164" formatCode="yyyy\-mm\-dd"/>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[Hospital_Management_Dashboard.xlsx]Pivot!PivotTable37</c:name>
    <c:fmtId val="1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Pivot!$B$3</c:f>
              <c:strCache>
                <c:ptCount val="1"/>
                <c:pt idx="0">
                  <c:v>Total</c:v>
                </c:pt>
              </c:strCache>
            </c:strRef>
          </c:tx>
          <c:spPr>
            <a:solidFill>
              <a:schemeClr val="accent1"/>
            </a:solidFill>
            <a:ln>
              <a:noFill/>
            </a:ln>
            <a:effectLst/>
          </c:spPr>
          <c:invertIfNegative val="0"/>
          <c:cat>
            <c:strRef>
              <c:f>Pivot!$A$4:$A$12</c:f>
              <c:strCache>
                <c:ptCount val="8"/>
                <c:pt idx="0">
                  <c:v>Dr. Ali</c:v>
                </c:pt>
                <c:pt idx="1">
                  <c:v>Dr. Gupta</c:v>
                </c:pt>
                <c:pt idx="2">
                  <c:v>Dr. Kapoor</c:v>
                </c:pt>
                <c:pt idx="3">
                  <c:v>Dr. Khan</c:v>
                </c:pt>
                <c:pt idx="4">
                  <c:v>Dr. Mehta</c:v>
                </c:pt>
                <c:pt idx="5">
                  <c:v>Dr. Sharma</c:v>
                </c:pt>
                <c:pt idx="6">
                  <c:v>Dr. Singh</c:v>
                </c:pt>
                <c:pt idx="7">
                  <c:v>Dr. Verma</c:v>
                </c:pt>
              </c:strCache>
            </c:strRef>
          </c:cat>
          <c:val>
            <c:numRef>
              <c:f>Pivot!$B$4:$B$12</c:f>
              <c:numCache>
                <c:formatCode>General</c:formatCode>
                <c:ptCount val="8"/>
                <c:pt idx="0">
                  <c:v>124</c:v>
                </c:pt>
                <c:pt idx="1">
                  <c:v>108</c:v>
                </c:pt>
                <c:pt idx="2">
                  <c:v>131</c:v>
                </c:pt>
                <c:pt idx="3">
                  <c:v>122</c:v>
                </c:pt>
                <c:pt idx="4">
                  <c:v>125</c:v>
                </c:pt>
                <c:pt idx="5">
                  <c:v>133</c:v>
                </c:pt>
                <c:pt idx="6">
                  <c:v>116</c:v>
                </c:pt>
                <c:pt idx="7">
                  <c:v>141</c:v>
                </c:pt>
              </c:numCache>
            </c:numRef>
          </c:val>
          <c:extLst>
            <c:ext xmlns:c16="http://schemas.microsoft.com/office/drawing/2014/chart" uri="{C3380CC4-5D6E-409C-BE32-E72D297353CC}">
              <c16:uniqueId val="{00000000-2E7D-40A7-B807-A895A88E289E}"/>
            </c:ext>
          </c:extLst>
        </c:ser>
        <c:dLbls>
          <c:showLegendKey val="0"/>
          <c:showVal val="0"/>
          <c:showCatName val="0"/>
          <c:showSerName val="0"/>
          <c:showPercent val="0"/>
          <c:showBubbleSize val="0"/>
        </c:dLbls>
        <c:gapWidth val="150"/>
        <c:overlap val="100"/>
        <c:axId val="2057953647"/>
        <c:axId val="2057955311"/>
      </c:barChart>
      <c:catAx>
        <c:axId val="205795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955311"/>
        <c:crosses val="autoZero"/>
        <c:auto val="1"/>
        <c:lblAlgn val="ctr"/>
        <c:lblOffset val="100"/>
        <c:noMultiLvlLbl val="0"/>
      </c:catAx>
      <c:valAx>
        <c:axId val="205795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9536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[Hospital_Management_Dashboard.xlsx]Pivot!PivotTable41</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Pivot!$H$3</c:f>
              <c:strCache>
                <c:ptCount val="1"/>
                <c:pt idx="0">
                  <c:v>Total</c:v>
                </c:pt>
              </c:strCache>
            </c:strRef>
          </c:tx>
          <c:spPr>
            <a:ln w="28575" cap="rnd">
              <a:solidFill>
                <a:schemeClr val="accent1"/>
              </a:solidFill>
              <a:round/>
            </a:ln>
            <a:effectLst/>
          </c:spPr>
          <c:marker>
            <c:symbol val="none"/>
          </c:marker>
          <c:cat>
            <c:strRef>
              <c:f>Pivot!$G$4:$G$16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Pivot!$H$4:$H$16</c:f>
              <c:numCache>
                <c:formatCode>General</c:formatCode>
                <c:ptCount val="12"/>
                <c:pt idx="0">
                  <c:v>89</c:v>
                </c:pt>
                <c:pt idx="1">
                  <c:v>75</c:v>
                </c:pt>
                <c:pt idx="2">
                  <c:v>90</c:v>
                </c:pt>
                <c:pt idx="3">
                  <c:v>76</c:v>
                </c:pt>
                <c:pt idx="4">
                  <c:v>92</c:v>
                </c:pt>
                <c:pt idx="5">
                  <c:v>86</c:v>
                </c:pt>
                <c:pt idx="6">
                  <c:v>70</c:v>
                </c:pt>
                <c:pt idx="7">
                  <c:v>84</c:v>
                </c:pt>
                <c:pt idx="8">
                  <c:v>82</c:v>
                </c:pt>
                <c:pt idx="9">
                  <c:v>79</c:v>
                </c:pt>
                <c:pt idx="10">
                  <c:v>82</c:v>
                </c:pt>
                <c:pt idx="11">
                  <c:v>95</c:v>
                </c:pt>
              </c:numCache>
            </c:numRef>
          </c:val>
          <c:smooth val="0"/>
          <c:extLst>
            <c:ext xmlns:c16="http://schemas.microsoft.com/office/drawing/2014/chart" uri="{C3380CC4-5D6E-409C-BE32-E72D297353CC}">
              <c16:uniqueId val="{00000000-95AA-4AFF-9D68-9D2D7717E3F5}"/>
            </c:ext>
          </c:extLst>
        </c:ser>
        <c:dLbls>
          <c:showLegendKey val="0"/>
          <c:showVal val="0"/>
          <c:showCatName val="0"/>
          <c:showSerName val="0"/>
          <c:showPercent val="0"/>
          <c:showBubbleSize val="0"/>
        </c:dLbls>
        <c:smooth val="0"/>
        <c:axId val="2051312447"/>
        <c:axId val="2051312863"/>
      </c:lineChart>
      <c:catAx>
        <c:axId val="205131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12863"/>
        <c:crosses val="autoZero"/>
        <c:auto val="1"/>
        <c:lblAlgn val="ctr"/>
        <c:lblOffset val="100"/>
        <c:noMultiLvlLbl val="0"/>
      </c:catAx>
      <c:valAx>
        <c:axId val="205131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124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[Hospital_Management_Dashboard.xlsx]Pivot!PivotTable42</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Pivot!$K$3</c:f>
              <c:strCache>
                <c:ptCount val="1"/>
                <c:pt idx="0">
                  <c:v>Total</c:v>
                </c:pt>
              </c:strCache>
            </c:strRef>
          </c:tx>
          <c:spPr>
            <a:solidFill>
              <a:schemeClr val="accent1"/>
            </a:solidFill>
            <a:ln>
              <a:noFill/>
            </a:ln>
            <a:effectLst/>
          </c:spPr>
          <c:invertIfNegative val="0"/>
          <c:cat>
            <c:strRef>
              <c:f>Pivot!$J$4:$J$14</c:f>
              <c:strCache>
                <c:ptCount val="10"/>
                <c:pt idx="0">
                  <c:v>Asthma</c:v>
                </c:pt>
                <c:pt idx="1">
                  <c:v>Covid-19</c:v>
                </c:pt>
                <c:pt idx="2">
                  <c:v>Dengue</c:v>
                </c:pt>
                <c:pt idx="3">
                  <c:v>Diabetes</c:v>
                </c:pt>
                <c:pt idx="4">
                  <c:v>Fever</c:v>
                </c:pt>
                <c:pt idx="5">
                  <c:v>Heart Disease</c:v>
                </c:pt>
                <c:pt idx="6">
                  <c:v>Hypertension</c:v>
                </c:pt>
                <c:pt idx="7">
                  <c:v>Kidney Stone</c:v>
                </c:pt>
                <c:pt idx="8">
                  <c:v>Migraine</c:v>
                </c:pt>
                <c:pt idx="9">
                  <c:v>Pneumonia</c:v>
                </c:pt>
              </c:strCache>
            </c:strRef>
          </c:cat>
          <c:val>
            <c:numRef>
              <c:f>Pivot!$K$4:$K$14</c:f>
              <c:numCache>
                <c:formatCode>General</c:formatCode>
                <c:ptCount val="10"/>
                <c:pt idx="0">
                  <c:v>102</c:v>
                </c:pt>
                <c:pt idx="1">
                  <c:v>106</c:v>
                </c:pt>
                <c:pt idx="2">
                  <c:v>83</c:v>
                </c:pt>
                <c:pt idx="3">
                  <c:v>104</c:v>
                </c:pt>
                <c:pt idx="4">
                  <c:v>102</c:v>
                </c:pt>
                <c:pt idx="5">
                  <c:v>110</c:v>
                </c:pt>
                <c:pt idx="6">
                  <c:v>97</c:v>
                </c:pt>
                <c:pt idx="7">
                  <c:v>88</c:v>
                </c:pt>
                <c:pt idx="8">
                  <c:v>107</c:v>
                </c:pt>
                <c:pt idx="9">
                  <c:v>101</c:v>
                </c:pt>
              </c:numCache>
            </c:numRef>
          </c:val>
          <c:extLst>
            <c:ext xmlns:c16="http://schemas.microsoft.com/office/drawing/2014/chart" uri="{C3380CC4-5D6E-409C-BE32-E72D297353CC}">
              <c16:uniqueId val="{00000000-AD62-4004-91CD-5F5428CF524B}"/>
            </c:ext>
          </c:extLst>
        </c:ser>
        <c:dLbls>
          <c:showLegendKey val="0"/>
          <c:showVal val="0"/>
          <c:showCatName val="0"/>
          <c:showSerName val="0"/>
          <c:showPercent val="0"/>
          <c:showBubbleSize val="0"/>
        </c:dLbls>
        <c:gapWidth val="182"/>
        <c:axId val="2057937423"/>
        <c:axId val="2057939503"/>
      </c:barChart>
      <c:catAx>
        <c:axId val="205793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939503"/>
        <c:crosses val="autoZero"/>
        <c:auto val="1"/>
        <c:lblAlgn val="ctr"/>
        <c:lblOffset val="100"/>
        <c:noMultiLvlLbl val="0"/>
      </c:catAx>
      <c:valAx>
        <c:axId val="2057939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9374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[Hospital_Management_Dashboard.xlsx]Pivot!PivotTable40</c:name>
    <c:fmtId val="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76-4BD5-A731-45766B02F5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76-4BD5-A731-45766B02F5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76-4BD5-A731-45766B02F5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76-4BD5-A731-45766B02F5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76-4BD5-A731-45766B02F5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E76-4BD5-A731-45766B02F5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E76-4BD5-A731-45766B02F5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E76-4BD5-A731-45766B02F5D8}"/>
              </c:ext>
            </c:extLst>
          </c:dPt>
          <c:cat>
            <c:strRef>
              <c:f>Pivot!$D$4:$D$12</c:f>
              <c:strCache>
                <c:ptCount val="8"/>
                <c:pt idx="0">
                  <c:v>Dr. Ali</c:v>
                </c:pt>
                <c:pt idx="1">
                  <c:v>Dr. Gupta</c:v>
                </c:pt>
                <c:pt idx="2">
                  <c:v>Dr. Kapoor</c:v>
                </c:pt>
                <c:pt idx="3">
                  <c:v>Dr. Khan</c:v>
                </c:pt>
                <c:pt idx="4">
                  <c:v>Dr. Mehta</c:v>
                </c:pt>
                <c:pt idx="5">
                  <c:v>Dr. Sharma</c:v>
                </c:pt>
                <c:pt idx="6">
                  <c:v>Dr. Singh</c:v>
                </c:pt>
                <c:pt idx="7">
                  <c:v>Dr. Verma</c:v>
                </c:pt>
              </c:strCache>
            </c:strRef>
          </c:cat>
          <c:val>
            <c:numRef>
              <c:f>Pivot!$E$4:$E$12</c:f>
              <c:numCache>
                <c:formatCode>General</c:formatCode>
                <c:ptCount val="8"/>
                <c:pt idx="0">
                  <c:v>8419154</c:v>
                </c:pt>
                <c:pt idx="1">
                  <c:v>6521011</c:v>
                </c:pt>
                <c:pt idx="2">
                  <c:v>8859463</c:v>
                </c:pt>
                <c:pt idx="3">
                  <c:v>8118079</c:v>
                </c:pt>
                <c:pt idx="4">
                  <c:v>8474026</c:v>
                </c:pt>
                <c:pt idx="5">
                  <c:v>7894923</c:v>
                </c:pt>
                <c:pt idx="6">
                  <c:v>6933121</c:v>
                </c:pt>
                <c:pt idx="7">
                  <c:v>8447086</c:v>
                </c:pt>
              </c:numCache>
            </c:numRef>
          </c:val>
          <c:extLst>
            <c:ext xmlns:c16="http://schemas.microsoft.com/office/drawing/2014/chart" uri="{C3380CC4-5D6E-409C-BE32-E72D297353CC}">
              <c16:uniqueId val="{00000010-2E76-4BD5-A731-45766B02F5D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[Hospital_Management_Dashboard.xlsx]Pivot!PivotTable43</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21-4282-AF8B-9C5E92A476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21-4282-AF8B-9C5E92A4769F}"/>
              </c:ext>
            </c:extLst>
          </c:dPt>
          <c:cat>
            <c:strRef>
              <c:f>Pivot!$A$19:$A$21</c:f>
              <c:strCache>
                <c:ptCount val="2"/>
                <c:pt idx="0">
                  <c:v>Female</c:v>
                </c:pt>
                <c:pt idx="1">
                  <c:v>Male</c:v>
                </c:pt>
              </c:strCache>
            </c:strRef>
          </c:cat>
          <c:val>
            <c:numRef>
              <c:f>Pivot!$B$19:$B$21</c:f>
              <c:numCache>
                <c:formatCode>General</c:formatCode>
                <c:ptCount val="2"/>
                <c:pt idx="0">
                  <c:v>489</c:v>
                </c:pt>
                <c:pt idx="1">
                  <c:v>511</c:v>
                </c:pt>
              </c:numCache>
            </c:numRef>
          </c:val>
          <c:extLst>
            <c:ext xmlns:c16="http://schemas.microsoft.com/office/drawing/2014/chart" uri="{C3380CC4-5D6E-409C-BE32-E72D297353CC}">
              <c16:uniqueId val="{00000004-6521-4282-AF8B-9C5E92A4769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33618</xdr:colOff>
      <xdr:row>6</xdr:row>
      <xdr:rowOff>0</xdr:rowOff>
    </xdr:from>
    <xdr:to>
      <xdr:col>12</xdr:col>
      <xdr:colOff>369795</xdr:colOff>
      <xdr:row>20</xdr:row>
      <xdr:rowOff>76200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5</xdr:col>
      <xdr:colOff>470647</xdr:colOff>
      <xdr:row>35</xdr:row>
      <xdr:rowOff>76200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xdr:row>
      <xdr:rowOff>134471</xdr:rowOff>
    </xdr:from>
    <xdr:to>
      <xdr:col>5</xdr:col>
      <xdr:colOff>470647</xdr:colOff>
      <xdr:row>20</xdr:row>
      <xdr:rowOff>20171</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21</xdr:row>
      <xdr:rowOff>0</xdr:rowOff>
    </xdr:from>
    <xdr:to>
      <xdr:col>12</xdr:col>
      <xdr:colOff>336177</xdr:colOff>
      <xdr:row>35</xdr:row>
      <xdr:rowOff>76200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6</xdr:row>
      <xdr:rowOff>0</xdr:rowOff>
    </xdr:from>
    <xdr:to>
      <xdr:col>19</xdr:col>
      <xdr:colOff>56029</xdr:colOff>
      <xdr:row>17</xdr:row>
      <xdr:rowOff>67235</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11206</xdr:colOff>
      <xdr:row>21</xdr:row>
      <xdr:rowOff>1</xdr:rowOff>
    </xdr:from>
    <xdr:to>
      <xdr:col>16</xdr:col>
      <xdr:colOff>24653</xdr:colOff>
      <xdr:row>34</xdr:row>
      <xdr:rowOff>47626</xdr:rowOff>
    </xdr:to>
    <mc:AlternateContent xmlns:mc="http://schemas.openxmlformats.org/markup-compatibility/2006" xmlns:a14="http://schemas.microsoft.com/office/drawing/2010/main">
      <mc:Choice Requires="a14">
        <xdr:graphicFrame macro="">
          <xdr:nvGraphicFramePr>
            <xdr:cNvPr id="15" name="Disease"/>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mlns="">
        <xdr:sp macro="" textlink="">
          <xdr:nvSpPr>
            <xdr:cNvPr id="0" name=""/>
            <xdr:cNvSpPr>
              <a:spLocks noTextEdit="1"/>
            </xdr:cNvSpPr>
          </xdr:nvSpPr>
          <xdr:spPr>
            <a:xfrm>
              <a:off x="9558618" y="400050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28014</xdr:colOff>
      <xdr:row>21</xdr:row>
      <xdr:rowOff>16809</xdr:rowOff>
    </xdr:from>
    <xdr:to>
      <xdr:col>19</xdr:col>
      <xdr:colOff>41461</xdr:colOff>
      <xdr:row>34</xdr:row>
      <xdr:rowOff>64434</xdr:rowOff>
    </xdr:to>
    <mc:AlternateContent xmlns:mc="http://schemas.openxmlformats.org/markup-compatibility/2006" xmlns:a14="http://schemas.microsoft.com/office/drawing/2010/main">
      <mc:Choice Requires="a14">
        <xdr:graphicFrame macro="">
          <xdr:nvGraphicFramePr>
            <xdr:cNvPr id="16" name="Docto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11390779" y="401730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582706</xdr:colOff>
      <xdr:row>21</xdr:row>
      <xdr:rowOff>1</xdr:rowOff>
    </xdr:from>
    <xdr:to>
      <xdr:col>21</xdr:col>
      <xdr:colOff>596153</xdr:colOff>
      <xdr:row>34</xdr:row>
      <xdr:rowOff>47626</xdr:rowOff>
    </xdr:to>
    <mc:AlternateContent xmlns:mc="http://schemas.openxmlformats.org/markup-compatibility/2006" xmlns:a14="http://schemas.microsoft.com/office/drawing/2010/main">
      <mc:Choice Requires="a14">
        <xdr:graphicFrame macro="">
          <xdr:nvGraphicFramePr>
            <xdr:cNvPr id="1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155706" y="400050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gc" refreshedDate="46202.63928541667" createdVersion="6" refreshedVersion="6" minRefreshableVersion="3" recordCount="1000">
  <cacheSource type="worksheet">
    <worksheetSource name="Table1"/>
  </cacheSource>
  <cacheFields count="11">
    <cacheField name="Patient ID" numFmtId="0">
      <sharedItems count="10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haredItems>
    </cacheField>
    <cacheField name="Name" numFmtId="0">
      <sharedItems/>
    </cacheField>
    <cacheField name="Age" numFmtId="0">
      <sharedItems containsSemiMixedTypes="0" containsString="0" containsNumber="1" containsInteger="1" minValue="1" maxValue="90"/>
    </cacheField>
    <cacheField name="Gender" numFmtId="0">
      <sharedItems/>
    </cacheField>
    <cacheField name="Disease" numFmtId="0">
      <sharedItems/>
    </cacheField>
    <cacheField name="Doctor" numFmtId="0">
      <sharedItems count="8">
        <s v="Dr. Khan"/>
        <s v="Dr. Kapoor"/>
        <s v="Dr. Mehta"/>
        <s v="Dr. Verma"/>
        <s v="Dr. Sharma"/>
        <s v="Dr. Gupta"/>
        <s v="Dr. Ali"/>
        <s v="Dr. Singh"/>
      </sharedItems>
    </cacheField>
    <cacheField name="Admission Date" numFmtId="164">
      <sharedItems containsSemiMixedTypes="0" containsNonDate="0" containsDate="1" containsString="0" minDate="2025-01-01T00:00:00" maxDate="2026-01-01T00:00:00"/>
    </cacheField>
    <cacheField name="Discharge Date" numFmtId="164">
      <sharedItems containsSemiMixedTypes="0" containsNonDate="0" containsDate="1" containsString="0" minDate="2025-01-02T00:00:00" maxDate="2026-01-16T00:00:00"/>
    </cacheField>
    <cacheField name="Month" numFmtId="164">
      <sharedItems/>
    </cacheField>
    <cacheField name="Stay Days" numFmtId="0">
      <sharedItems containsSemiMixedTypes="0" containsString="0" containsNumber="1" containsInteger="1" minValue="1" maxValue="15"/>
    </cacheField>
    <cacheField name="Bill" numFmtId="0">
      <sharedItems containsSemiMixedTypes="0" containsString="0" containsNumber="1" containsInteger="1" minValue="4027" maxValue="17937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cgc" refreshedDate="46202.648490046297" backgroundQuery="1" createdVersion="6" refreshedVersion="6" minRefreshableVersion="3" recordCount="0" supportSubquery="1" supportAdvancedDrill="1">
  <cacheSource type="external" connectionId="1"/>
  <cacheFields count="3">
    <cacheField name="[Table1].[Gender].[Gender]" caption="Gender" numFmtId="0" hierarchy="3" level="1">
      <sharedItems count="2">
        <s v="Female"/>
        <s v="Male"/>
      </sharedItems>
    </cacheField>
    <cacheField name="[Measures].[Count of Patient ID]" caption="Count of Patient ID" numFmtId="0" hierarchy="13" level="32767"/>
    <cacheField name="[Table1].[Doctor].[Doctor]" caption="Doctor" numFmtId="0" hierarchy="5" level="1">
      <sharedItems containsSemiMixedTypes="0" containsNonDate="0" containsString="0"/>
    </cacheField>
  </cacheFields>
  <cacheHierarchies count="15">
    <cacheHierarchy uniqueName="[Table1].[Patient ID]" caption="Patient ID" attribute="1" defaultMemberUniqueName="[Table1].[Patient ID].[All]" allUniqueName="[Table1].[Patient ID].[All]" dimensionUniqueName="[Table1]" displayFolder="" count="2" memberValueDatatype="130" unbalanced="0"/>
    <cacheHierarchy uniqueName="[Table1].[Name]" caption="Name" attribute="1" defaultMemberUniqueName="[Table1].[Name].[All]" allUniqueName="[Table1].[Name].[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Disease]" caption="Disease" attribute="1" defaultMemberUniqueName="[Table1].[Disease].[All]" allUniqueName="[Table1].[Disease].[All]" dimensionUniqueName="[Table1]" displayFolder="" count="2" memberValueDatatype="130" unbalanced="0"/>
    <cacheHierarchy uniqueName="[Table1].[Doctor]" caption="Doctor" attribute="1" defaultMemberUniqueName="[Table1].[Doctor].[All]" allUniqueName="[Table1].[Doctor].[All]" dimensionUniqueName="[Table1]" displayFolder="" count="2" memberValueDatatype="130" unbalanced="0">
      <fieldsUsage count="2">
        <fieldUsage x="-1"/>
        <fieldUsage x="2"/>
      </fieldsUsage>
    </cacheHierarchy>
    <cacheHierarchy uniqueName="[Table1].[Admission Date]" caption="Admission Date" attribute="1" time="1" defaultMemberUniqueName="[Table1].[Admission Date].[All]" allUniqueName="[Table1].[Admission Date].[All]" dimensionUniqueName="[Table1]" displayFolder="" count="2" memberValueDatatype="7" unbalanced="0"/>
    <cacheHierarchy uniqueName="[Table1].[Discharge Date]" caption="Discharge Date" attribute="1" time="1" defaultMemberUniqueName="[Table1].[Discharge Date].[All]" allUniqueName="[Table1].[Discharge 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cacheHierarchy uniqueName="[Table1].[Stay Days]" caption="Stay Days" attribute="1" defaultMemberUniqueName="[Table1].[Stay Days].[All]" allUniqueName="[Table1].[Stay Days].[All]" dimensionUniqueName="[Table1]" displayFolder="" count="2" memberValueDatatype="20" unbalanced="0"/>
    <cacheHierarchy uniqueName="[Table1].[Bill]" caption="Bill" attribute="1" defaultMemberUniqueName="[Table1].[Bill].[All]" allUniqueName="[Table1].[Bill].[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ill]" caption="Sum of Bill"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cgc" refreshedDate="46202.64849039352" backgroundQuery="1" createdVersion="6" refreshedVersion="6" minRefreshableVersion="3" recordCount="0" supportSubquery="1" supportAdvancedDrill="1">
  <cacheSource type="external" connectionId="1"/>
  <cacheFields count="2">
    <cacheField name="[Table1].[Doctor].[Doctor]" caption="Doctor" numFmtId="0" hierarchy="5" level="1">
      <sharedItems count="8">
        <s v="Dr. Ali"/>
        <s v="Dr. Gupta"/>
        <s v="Dr. Kapoor"/>
        <s v="Dr. Khan"/>
        <s v="Dr. Mehta"/>
        <s v="Dr. Sharma"/>
        <s v="Dr. Singh"/>
        <s v="Dr. Verma"/>
      </sharedItems>
    </cacheField>
    <cacheField name="[Measures].[Sum of Bill]" caption="Sum of Bill" numFmtId="0" hierarchy="14" level="32767"/>
  </cacheFields>
  <cacheHierarchies count="15">
    <cacheHierarchy uniqueName="[Table1].[Patient ID]" caption="Patient ID" attribute="1" defaultMemberUniqueName="[Table1].[Patient ID].[All]" allUniqueName="[Table1].[Patient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isease]" caption="Disease" attribute="1" defaultMemberUniqueName="[Table1].[Disease].[All]" allUniqueName="[Table1].[Disease].[All]" dimensionUniqueName="[Table1]" displayFolder="" count="0" memberValueDatatype="130" unbalanced="0"/>
    <cacheHierarchy uniqueName="[Table1].[Doctor]" caption="Doctor" attribute="1" defaultMemberUniqueName="[Table1].[Doctor].[All]" allUniqueName="[Table1].[Doctor].[All]" dimensionUniqueName="[Table1]" displayFolder="" count="2" memberValueDatatype="130" unbalanced="0">
      <fieldsUsage count="2">
        <fieldUsage x="-1"/>
        <fieldUsage x="0"/>
      </fieldsUsage>
    </cacheHierarchy>
    <cacheHierarchy uniqueName="[Table1].[Admission Date]" caption="Admission Date" attribute="1" time="1" defaultMemberUniqueName="[Table1].[Admission Date].[All]" allUniqueName="[Table1].[Admission Date].[All]" dimensionUniqueName="[Table1]" displayFolder="" count="0" memberValueDatatype="7" unbalanced="0"/>
    <cacheHierarchy uniqueName="[Table1].[Discharge Date]" caption="Discharge Date" attribute="1" time="1" defaultMemberUniqueName="[Table1].[Discharge Date].[All]" allUniqueName="[Table1].[Discharge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Stay Days]" caption="Stay Days" attribute="1" defaultMemberUniqueName="[Table1].[Stay Days].[All]" allUniqueName="[Table1].[Stay Days].[All]" dimensionUniqueName="[Table1]" displayFolder="" count="0" memberValueDatatype="20" unbalanced="0"/>
    <cacheHierarchy uniqueName="[Table1].[Bill]" caption="Bill" attribute="1" defaultMemberUniqueName="[Table1].[Bill].[All]" allUniqueName="[Table1].[Bill].[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0"/>
        </ext>
      </extLst>
    </cacheHierarchy>
    <cacheHierarchy uniqueName="[Measures].[Sum of Bill]" caption="Sum of Bill"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cgc" refreshedDate="46202.648490740743" backgroundQuery="1" createdVersion="6" refreshedVersion="6" minRefreshableVersion="3" recordCount="0" supportSubquery="1" supportAdvancedDrill="1">
  <cacheSource type="external" connectionId="1"/>
  <cacheFields count="3">
    <cacheField name="[Table1].[Month].[Month]" caption="Month" numFmtId="0" hierarchy="8" level="1">
      <sharedItems count="12">
        <s v="April"/>
        <s v="August"/>
        <s v="December"/>
        <s v="February"/>
        <s v="January"/>
        <s v="July"/>
        <s v="June"/>
        <s v="March"/>
        <s v="May"/>
        <s v="November"/>
        <s v="October"/>
        <s v="September"/>
      </sharedItems>
    </cacheField>
    <cacheField name="[Measures].[Count of Patient ID]" caption="Count of Patient ID" numFmtId="0" hierarchy="13" level="32767"/>
    <cacheField name="[Table1].[Doctor].[Doctor]" caption="Doctor" numFmtId="0" hierarchy="5" level="1">
      <sharedItems containsSemiMixedTypes="0" containsNonDate="0" containsString="0"/>
    </cacheField>
  </cacheFields>
  <cacheHierarchies count="15">
    <cacheHierarchy uniqueName="[Table1].[Patient ID]" caption="Patient ID" attribute="1" defaultMemberUniqueName="[Table1].[Patient ID].[All]" allUniqueName="[Table1].[Patient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isease]" caption="Disease" attribute="1" defaultMemberUniqueName="[Table1].[Disease].[All]" allUniqueName="[Table1].[Disease].[All]" dimensionUniqueName="[Table1]" displayFolder="" count="0" memberValueDatatype="130" unbalanced="0"/>
    <cacheHierarchy uniqueName="[Table1].[Doctor]" caption="Doctor" attribute="1" defaultMemberUniqueName="[Table1].[Doctor].[All]" allUniqueName="[Table1].[Doctor].[All]" dimensionUniqueName="[Table1]" displayFolder="" count="2" memberValueDatatype="130" unbalanced="0">
      <fieldsUsage count="2">
        <fieldUsage x="-1"/>
        <fieldUsage x="2"/>
      </fieldsUsage>
    </cacheHierarchy>
    <cacheHierarchy uniqueName="[Table1].[Admission Date]" caption="Admission Date" attribute="1" time="1" defaultMemberUniqueName="[Table1].[Admission Date].[All]" allUniqueName="[Table1].[Admission Date].[All]" dimensionUniqueName="[Table1]" displayFolder="" count="0" memberValueDatatype="7" unbalanced="0"/>
    <cacheHierarchy uniqueName="[Table1].[Discharge Date]" caption="Discharge Date" attribute="1" time="1" defaultMemberUniqueName="[Table1].[Discharge Date].[All]" allUniqueName="[Table1].[Discharge 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Stay Days]" caption="Stay Days" attribute="1" defaultMemberUniqueName="[Table1].[Stay Days].[All]" allUniqueName="[Table1].[Stay Days].[All]" dimensionUniqueName="[Table1]" displayFolder="" count="0" memberValueDatatype="20" unbalanced="0"/>
    <cacheHierarchy uniqueName="[Table1].[Bill]" caption="Bill" attribute="1" defaultMemberUniqueName="[Table1].[Bill].[All]" allUniqueName="[Table1].[Bill].[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ill]" caption="Sum of Bill"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cgc" refreshedDate="46202.648491435182" backgroundQuery="1" createdVersion="6" refreshedVersion="6" minRefreshableVersion="3" recordCount="0" supportSubquery="1" supportAdvancedDrill="1">
  <cacheSource type="external" connectionId="1"/>
  <cacheFields count="3">
    <cacheField name="[Table1].[Disease].[Disease]" caption="Disease" numFmtId="0" hierarchy="4" level="1">
      <sharedItems count="10">
        <s v="Asthma"/>
        <s v="Covid-19"/>
        <s v="Dengue"/>
        <s v="Diabetes"/>
        <s v="Fever"/>
        <s v="Heart Disease"/>
        <s v="Hypertension"/>
        <s v="Kidney Stone"/>
        <s v="Migraine"/>
        <s v="Pneumonia"/>
      </sharedItems>
    </cacheField>
    <cacheField name="[Measures].[Count of Patient ID]" caption="Count of Patient ID" numFmtId="0" hierarchy="13" level="32767"/>
    <cacheField name="[Table1].[Doctor].[Doctor]" caption="Doctor" numFmtId="0" hierarchy="5" level="1">
      <sharedItems containsSemiMixedTypes="0" containsNonDate="0" containsString="0"/>
    </cacheField>
  </cacheFields>
  <cacheHierarchies count="15">
    <cacheHierarchy uniqueName="[Table1].[Patient ID]" caption="Patient ID" attribute="1" defaultMemberUniqueName="[Table1].[Patient ID].[All]" allUniqueName="[Table1].[Patient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isease]" caption="Disease" attribute="1" defaultMemberUniqueName="[Table1].[Disease].[All]" allUniqueName="[Table1].[Disease].[All]" dimensionUniqueName="[Table1]" displayFolder="" count="2" memberValueDatatype="130" unbalanced="0">
      <fieldsUsage count="2">
        <fieldUsage x="-1"/>
        <fieldUsage x="0"/>
      </fieldsUsage>
    </cacheHierarchy>
    <cacheHierarchy uniqueName="[Table1].[Doctor]" caption="Doctor" attribute="1" defaultMemberUniqueName="[Table1].[Doctor].[All]" allUniqueName="[Table1].[Doctor].[All]" dimensionUniqueName="[Table1]" displayFolder="" count="2" memberValueDatatype="130" unbalanced="0">
      <fieldsUsage count="2">
        <fieldUsage x="-1"/>
        <fieldUsage x="2"/>
      </fieldsUsage>
    </cacheHierarchy>
    <cacheHierarchy uniqueName="[Table1].[Admission Date]" caption="Admission Date" attribute="1" time="1" defaultMemberUniqueName="[Table1].[Admission Date].[All]" allUniqueName="[Table1].[Admission Date].[All]" dimensionUniqueName="[Table1]" displayFolder="" count="0" memberValueDatatype="7" unbalanced="0"/>
    <cacheHierarchy uniqueName="[Table1].[Discharge Date]" caption="Discharge Date" attribute="1" time="1" defaultMemberUniqueName="[Table1].[Discharge Date].[All]" allUniqueName="[Table1].[Discharge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Stay Days]" caption="Stay Days" attribute="1" defaultMemberUniqueName="[Table1].[Stay Days].[All]" allUniqueName="[Table1].[Stay Days].[All]" dimensionUniqueName="[Table1]" displayFolder="" count="0" memberValueDatatype="20" unbalanced="0"/>
    <cacheHierarchy uniqueName="[Table1].[Bill]" caption="Bill" attribute="1" defaultMemberUniqueName="[Table1].[Bill].[All]" allUniqueName="[Table1].[Bill].[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ill]" caption="Sum of Bill"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cgc" refreshedDate="46202.64680451389"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Table1].[Patient ID]" caption="Patient ID" attribute="1" defaultMemberUniqueName="[Table1].[Patient ID].[All]" allUniqueName="[Table1].[Patient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Disease]" caption="Disease" attribute="1" defaultMemberUniqueName="[Table1].[Disease].[All]" allUniqueName="[Table1].[Disease].[All]" dimensionUniqueName="[Table1]" displayFolder="" count="2" memberValueDatatype="130" unbalanced="0"/>
    <cacheHierarchy uniqueName="[Table1].[Doctor]" caption="Doctor" attribute="1" defaultMemberUniqueName="[Table1].[Doctor].[All]" allUniqueName="[Table1].[Doctor].[All]" dimensionUniqueName="[Table1]" displayFolder="" count="2" memberValueDatatype="130" unbalanced="0"/>
    <cacheHierarchy uniqueName="[Table1].[Admission Date]" caption="Admission Date" attribute="1" time="1" defaultMemberUniqueName="[Table1].[Admission Date].[All]" allUniqueName="[Table1].[Admission Date].[All]" dimensionUniqueName="[Table1]" displayFolder="" count="0" memberValueDatatype="7" unbalanced="0"/>
    <cacheHierarchy uniqueName="[Table1].[Discharge Date]" caption="Discharge Date" attribute="1" time="1" defaultMemberUniqueName="[Table1].[Discharge Date].[All]" allUniqueName="[Table1].[Discharge 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Stay Days]" caption="Stay Days" attribute="1" defaultMemberUniqueName="[Table1].[Stay Days].[All]" allUniqueName="[Table1].[Stay Days].[All]" dimensionUniqueName="[Table1]" displayFolder="" count="0" memberValueDatatype="20" unbalanced="0"/>
    <cacheHierarchy uniqueName="[Table1].[Bill]" caption="Bill" attribute="1" defaultMemberUniqueName="[Table1].[Bill].[All]" allUniqueName="[Table1].[Bill].[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0"/>
        </ext>
      </extLst>
    </cacheHierarchy>
    <cacheHierarchy uniqueName="[Measures].[Sum of Bill]" caption="Sum of Bill"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000">
  <r>
    <x v="0"/>
    <s v="Kiran Khan"/>
    <n v="56"/>
    <s v="Male"/>
    <s v="Migraine"/>
    <x v="0"/>
    <d v="2025-12-03T00:00:00"/>
    <d v="2025-12-06T00:00:00"/>
    <s v="December"/>
    <n v="3"/>
    <n v="17019"/>
  </r>
  <r>
    <x v="1"/>
    <s v="Arjun Rather"/>
    <n v="42"/>
    <s v="Female"/>
    <s v="Kidney Stone"/>
    <x v="1"/>
    <d v="2025-01-11T00:00:00"/>
    <d v="2025-01-19T00:00:00"/>
    <s v="January"/>
    <n v="8"/>
    <n v="32528"/>
  </r>
  <r>
    <x v="2"/>
    <s v="Priya Verma"/>
    <n v="28"/>
    <s v="Male"/>
    <s v="Diabetes"/>
    <x v="2"/>
    <d v="2025-09-23T00:00:00"/>
    <d v="2025-10-06T00:00:00"/>
    <s v="September"/>
    <n v="13"/>
    <n v="116493"/>
  </r>
  <r>
    <x v="3"/>
    <s v="Imran Khan"/>
    <n v="2"/>
    <s v="Female"/>
    <s v="Heart Disease"/>
    <x v="3"/>
    <d v="2025-02-07T00:00:00"/>
    <d v="2025-02-10T00:00:00"/>
    <s v="February"/>
    <n v="3"/>
    <n v="21084"/>
  </r>
  <r>
    <x v="4"/>
    <s v="Kiran Rather"/>
    <n v="25"/>
    <s v="Female"/>
    <s v="Dengue"/>
    <x v="2"/>
    <d v="2025-03-02T00:00:00"/>
    <d v="2025-03-06T00:00:00"/>
    <s v="March"/>
    <n v="4"/>
    <n v="47036"/>
  </r>
  <r>
    <x v="5"/>
    <s v="Priya Sharma"/>
    <n v="9"/>
    <s v="Female"/>
    <s v="Covid-19"/>
    <x v="4"/>
    <d v="2025-04-05T00:00:00"/>
    <d v="2025-04-12T00:00:00"/>
    <s v="April"/>
    <n v="7"/>
    <n v="78869"/>
  </r>
  <r>
    <x v="6"/>
    <s v="Rohit Malik"/>
    <n v="4"/>
    <s v="Female"/>
    <s v="Heart Disease"/>
    <x v="4"/>
    <d v="2025-05-19T00:00:00"/>
    <d v="2025-05-25T00:00:00"/>
    <s v="May"/>
    <n v="6"/>
    <n v="54540"/>
  </r>
  <r>
    <x v="7"/>
    <s v="Arjun Khan"/>
    <n v="67"/>
    <s v="Female"/>
    <s v="Pneumonia"/>
    <x v="0"/>
    <d v="2025-04-07T00:00:00"/>
    <d v="2025-04-15T00:00:00"/>
    <s v="April"/>
    <n v="8"/>
    <n v="50416"/>
  </r>
  <r>
    <x v="8"/>
    <s v="Arjun Kumar"/>
    <n v="11"/>
    <s v="Male"/>
    <s v="Pneumonia"/>
    <x v="5"/>
    <d v="2025-02-22T00:00:00"/>
    <d v="2025-02-25T00:00:00"/>
    <s v="February"/>
    <n v="3"/>
    <n v="23016"/>
  </r>
  <r>
    <x v="9"/>
    <s v="Priya Ali"/>
    <n v="31"/>
    <s v="Male"/>
    <s v="Asthma"/>
    <x v="5"/>
    <d v="2025-06-02T00:00:00"/>
    <d v="2025-06-13T00:00:00"/>
    <s v="June"/>
    <n v="11"/>
    <n v="72424"/>
  </r>
  <r>
    <x v="10"/>
    <s v="Priya Malik"/>
    <n v="87"/>
    <s v="Female"/>
    <s v="Fever"/>
    <x v="5"/>
    <d v="2025-05-26T00:00:00"/>
    <d v="2025-06-01T00:00:00"/>
    <s v="May"/>
    <n v="6"/>
    <n v="65796"/>
  </r>
  <r>
    <x v="11"/>
    <s v="Priya Kapoor"/>
    <n v="88"/>
    <s v="Female"/>
    <s v="Covid-19"/>
    <x v="1"/>
    <d v="2025-01-27T00:00:00"/>
    <d v="2025-01-28T00:00:00"/>
    <s v="January"/>
    <n v="1"/>
    <n v="9441"/>
  </r>
  <r>
    <x v="12"/>
    <s v="Imran Kapoor"/>
    <n v="73"/>
    <s v="Male"/>
    <s v="Pneumonia"/>
    <x v="3"/>
    <d v="2025-09-09T00:00:00"/>
    <d v="2025-09-10T00:00:00"/>
    <s v="September"/>
    <n v="1"/>
    <n v="8055"/>
  </r>
  <r>
    <x v="13"/>
    <s v="Rahul Ali"/>
    <n v="25"/>
    <s v="Male"/>
    <s v="Asthma"/>
    <x v="4"/>
    <d v="2025-08-06T00:00:00"/>
    <d v="2025-08-07T00:00:00"/>
    <s v="August"/>
    <n v="1"/>
    <n v="4070"/>
  </r>
  <r>
    <x v="14"/>
    <s v="Mehak Malik"/>
    <n v="28"/>
    <s v="Male"/>
    <s v="Pneumonia"/>
    <x v="4"/>
    <d v="2025-08-21T00:00:00"/>
    <d v="2025-09-02T00:00:00"/>
    <s v="August"/>
    <n v="12"/>
    <n v="100296"/>
  </r>
  <r>
    <x v="15"/>
    <s v="Zara Gupta"/>
    <n v="20"/>
    <s v="Male"/>
    <s v="Kidney Stone"/>
    <x v="6"/>
    <d v="2025-11-07T00:00:00"/>
    <d v="2025-11-10T00:00:00"/>
    <s v="November"/>
    <n v="3"/>
    <n v="30669"/>
  </r>
  <r>
    <x v="16"/>
    <s v="Imran Verma"/>
    <n v="3"/>
    <s v="Female"/>
    <s v="Covid-19"/>
    <x v="7"/>
    <d v="2025-05-22T00:00:00"/>
    <d v="2025-05-30T00:00:00"/>
    <s v="May"/>
    <n v="8"/>
    <n v="35360"/>
  </r>
  <r>
    <x v="17"/>
    <s v="Pooja Kumar"/>
    <n v="30"/>
    <s v="Male"/>
    <s v="Fever"/>
    <x v="5"/>
    <d v="2025-07-16T00:00:00"/>
    <d v="2025-07-23T00:00:00"/>
    <s v="July"/>
    <n v="7"/>
    <n v="72527"/>
  </r>
  <r>
    <x v="18"/>
    <s v="Priya Gupta"/>
    <n v="24"/>
    <s v="Female"/>
    <s v="Fever"/>
    <x v="2"/>
    <d v="2025-07-20T00:00:00"/>
    <d v="2025-08-02T00:00:00"/>
    <s v="July"/>
    <n v="13"/>
    <n v="140725"/>
  </r>
  <r>
    <x v="19"/>
    <s v="Mehak Ali"/>
    <n v="23"/>
    <s v="Male"/>
    <s v="Migraine"/>
    <x v="1"/>
    <d v="2025-07-30T00:00:00"/>
    <d v="2025-08-11T00:00:00"/>
    <s v="July"/>
    <n v="12"/>
    <n v="133740"/>
  </r>
  <r>
    <x v="20"/>
    <s v="Sara Verma"/>
    <n v="22"/>
    <s v="Female"/>
    <s v="Asthma"/>
    <x v="4"/>
    <d v="2025-09-30T00:00:00"/>
    <d v="2025-10-05T00:00:00"/>
    <s v="September"/>
    <n v="5"/>
    <n v="45900"/>
  </r>
  <r>
    <x v="21"/>
    <s v="Adil Verma"/>
    <n v="48"/>
    <s v="Female"/>
    <s v="Heart Disease"/>
    <x v="1"/>
    <d v="2025-10-21T00:00:00"/>
    <d v="2025-10-24T00:00:00"/>
    <s v="October"/>
    <n v="3"/>
    <n v="28968"/>
  </r>
  <r>
    <x v="22"/>
    <s v="Zara Sharma"/>
    <n v="59"/>
    <s v="Female"/>
    <s v="Heart Disease"/>
    <x v="0"/>
    <d v="2025-09-19T00:00:00"/>
    <d v="2025-10-02T00:00:00"/>
    <s v="September"/>
    <n v="13"/>
    <n v="137761"/>
  </r>
  <r>
    <x v="23"/>
    <s v="Pooja Rather"/>
    <n v="6"/>
    <s v="Female"/>
    <s v="Dengue"/>
    <x v="5"/>
    <d v="2025-11-27T00:00:00"/>
    <d v="2025-12-03T00:00:00"/>
    <s v="November"/>
    <n v="6"/>
    <n v="51582"/>
  </r>
  <r>
    <x v="24"/>
    <s v="Neha Kumar"/>
    <n v="88"/>
    <s v="Male"/>
    <s v="Asthma"/>
    <x v="3"/>
    <d v="2025-06-15T00:00:00"/>
    <d v="2025-06-20T00:00:00"/>
    <s v="June"/>
    <n v="5"/>
    <n v="50795"/>
  </r>
  <r>
    <x v="25"/>
    <s v="Rohit Malik"/>
    <n v="67"/>
    <s v="Male"/>
    <s v="Fever"/>
    <x v="0"/>
    <d v="2025-01-23T00:00:00"/>
    <d v="2025-01-31T00:00:00"/>
    <s v="January"/>
    <n v="8"/>
    <n v="49008"/>
  </r>
  <r>
    <x v="26"/>
    <s v="Arjun Rather"/>
    <n v="53"/>
    <s v="Female"/>
    <s v="Fever"/>
    <x v="1"/>
    <d v="2025-03-23T00:00:00"/>
    <d v="2025-03-25T00:00:00"/>
    <s v="March"/>
    <n v="2"/>
    <n v="21046"/>
  </r>
  <r>
    <x v="27"/>
    <s v="Anita Khan"/>
    <n v="28"/>
    <s v="Female"/>
    <s v="Fever"/>
    <x v="2"/>
    <d v="2025-02-02T00:00:00"/>
    <d v="2025-02-06T00:00:00"/>
    <s v="February"/>
    <n v="4"/>
    <n v="47856"/>
  </r>
  <r>
    <x v="28"/>
    <s v="Zara Singh"/>
    <n v="69"/>
    <s v="Female"/>
    <s v="Diabetes"/>
    <x v="3"/>
    <d v="2025-01-24T00:00:00"/>
    <d v="2025-01-29T00:00:00"/>
    <s v="January"/>
    <n v="5"/>
    <n v="32990"/>
  </r>
  <r>
    <x v="29"/>
    <s v="Priya Rather"/>
    <n v="77"/>
    <s v="Male"/>
    <s v="Covid-19"/>
    <x v="7"/>
    <d v="2025-09-03T00:00:00"/>
    <d v="2025-09-14T00:00:00"/>
    <s v="September"/>
    <n v="11"/>
    <n v="76351"/>
  </r>
  <r>
    <x v="30"/>
    <s v="Imran Verma"/>
    <n v="83"/>
    <s v="Male"/>
    <s v="Fever"/>
    <x v="4"/>
    <d v="2025-04-01T00:00:00"/>
    <d v="2025-04-02T00:00:00"/>
    <s v="April"/>
    <n v="1"/>
    <n v="5290"/>
  </r>
  <r>
    <x v="31"/>
    <s v="Rohit Ali"/>
    <n v="73"/>
    <s v="Male"/>
    <s v="Dengue"/>
    <x v="0"/>
    <d v="2025-04-19T00:00:00"/>
    <d v="2025-04-24T00:00:00"/>
    <s v="April"/>
    <n v="5"/>
    <n v="29410"/>
  </r>
  <r>
    <x v="32"/>
    <s v="Imran Kumar"/>
    <n v="87"/>
    <s v="Female"/>
    <s v="Pneumonia"/>
    <x v="2"/>
    <d v="2025-09-04T00:00:00"/>
    <d v="2025-09-19T00:00:00"/>
    <s v="September"/>
    <n v="15"/>
    <n v="169050"/>
  </r>
  <r>
    <x v="33"/>
    <s v="Zara Malik"/>
    <n v="36"/>
    <s v="Male"/>
    <s v="Covid-19"/>
    <x v="2"/>
    <d v="2025-09-16T00:00:00"/>
    <d v="2025-09-27T00:00:00"/>
    <s v="September"/>
    <n v="11"/>
    <n v="83446"/>
  </r>
  <r>
    <x v="34"/>
    <s v="Arjun Kumar"/>
    <n v="35"/>
    <s v="Female"/>
    <s v="Heart Disease"/>
    <x v="3"/>
    <d v="2025-11-10T00:00:00"/>
    <d v="2025-11-25T00:00:00"/>
    <s v="November"/>
    <n v="15"/>
    <n v="161385"/>
  </r>
  <r>
    <x v="35"/>
    <s v="Rahul Singh"/>
    <n v="60"/>
    <s v="Male"/>
    <s v="Fever"/>
    <x v="0"/>
    <d v="2025-08-19T00:00:00"/>
    <d v="2025-08-23T00:00:00"/>
    <s v="August"/>
    <n v="4"/>
    <n v="36696"/>
  </r>
  <r>
    <x v="36"/>
    <s v="Anita Ali"/>
    <n v="62"/>
    <s v="Female"/>
    <s v="Fever"/>
    <x v="0"/>
    <d v="2025-01-12T00:00:00"/>
    <d v="2025-01-19T00:00:00"/>
    <s v="January"/>
    <n v="7"/>
    <n v="64491"/>
  </r>
  <r>
    <x v="37"/>
    <s v="Anita Gupta"/>
    <n v="79"/>
    <s v="Female"/>
    <s v="Kidney Stone"/>
    <x v="4"/>
    <d v="2025-04-20T00:00:00"/>
    <d v="2025-04-22T00:00:00"/>
    <s v="April"/>
    <n v="2"/>
    <n v="22200"/>
  </r>
  <r>
    <x v="38"/>
    <s v="Rohit Ali"/>
    <n v="90"/>
    <s v="Male"/>
    <s v="Hypertension"/>
    <x v="6"/>
    <d v="2025-12-19T00:00:00"/>
    <d v="2025-12-20T00:00:00"/>
    <s v="December"/>
    <n v="1"/>
    <n v="7198"/>
  </r>
  <r>
    <x v="39"/>
    <s v="Sara Ali"/>
    <n v="8"/>
    <s v="Female"/>
    <s v="Diabetes"/>
    <x v="5"/>
    <d v="2025-08-17T00:00:00"/>
    <d v="2025-08-27T00:00:00"/>
    <s v="August"/>
    <n v="10"/>
    <n v="116070"/>
  </r>
  <r>
    <x v="40"/>
    <s v="Sara Verma"/>
    <n v="81"/>
    <s v="Female"/>
    <s v="Heart Disease"/>
    <x v="4"/>
    <d v="2025-01-28T00:00:00"/>
    <d v="2025-02-02T00:00:00"/>
    <s v="January"/>
    <n v="5"/>
    <n v="45295"/>
  </r>
  <r>
    <x v="41"/>
    <s v="Vikas Khan"/>
    <n v="61"/>
    <s v="Male"/>
    <s v="Asthma"/>
    <x v="5"/>
    <d v="2025-01-10T00:00:00"/>
    <d v="2025-01-16T00:00:00"/>
    <s v="January"/>
    <n v="6"/>
    <n v="46962"/>
  </r>
  <r>
    <x v="42"/>
    <s v="Arjun Singh"/>
    <n v="10"/>
    <s v="Female"/>
    <s v="Diabetes"/>
    <x v="4"/>
    <d v="2025-06-27T00:00:00"/>
    <d v="2025-07-08T00:00:00"/>
    <s v="June"/>
    <n v="11"/>
    <n v="58355"/>
  </r>
  <r>
    <x v="43"/>
    <s v="Pooja Kumar"/>
    <n v="68"/>
    <s v="Female"/>
    <s v="Hypertension"/>
    <x v="3"/>
    <d v="2025-07-27T00:00:00"/>
    <d v="2025-07-31T00:00:00"/>
    <s v="July"/>
    <n v="4"/>
    <n v="36504"/>
  </r>
  <r>
    <x v="44"/>
    <s v="Mehak Sharma"/>
    <n v="21"/>
    <s v="Male"/>
    <s v="Pneumonia"/>
    <x v="3"/>
    <d v="2025-11-14T00:00:00"/>
    <d v="2025-11-18T00:00:00"/>
    <s v="November"/>
    <n v="4"/>
    <n v="16600"/>
  </r>
  <r>
    <x v="45"/>
    <s v="Aman Ali"/>
    <n v="34"/>
    <s v="Female"/>
    <s v="Covid-19"/>
    <x v="4"/>
    <d v="2025-02-16T00:00:00"/>
    <d v="2025-02-23T00:00:00"/>
    <s v="February"/>
    <n v="7"/>
    <n v="78148"/>
  </r>
  <r>
    <x v="46"/>
    <s v="Neha Ali"/>
    <n v="22"/>
    <s v="Male"/>
    <s v="Covid-19"/>
    <x v="7"/>
    <d v="2025-05-24T00:00:00"/>
    <d v="2025-06-01T00:00:00"/>
    <s v="May"/>
    <n v="8"/>
    <n v="41192"/>
  </r>
  <r>
    <x v="47"/>
    <s v="Anita Singh"/>
    <n v="71"/>
    <s v="Female"/>
    <s v="Heart Disease"/>
    <x v="1"/>
    <d v="2025-08-29T00:00:00"/>
    <d v="2025-09-12T00:00:00"/>
    <s v="August"/>
    <n v="14"/>
    <n v="65142"/>
  </r>
  <r>
    <x v="48"/>
    <s v="Imran Malik"/>
    <n v="28"/>
    <s v="Female"/>
    <s v="Dengue"/>
    <x v="0"/>
    <d v="2025-01-08T00:00:00"/>
    <d v="2025-01-10T00:00:00"/>
    <s v="January"/>
    <n v="2"/>
    <n v="8162"/>
  </r>
  <r>
    <x v="49"/>
    <s v="Neha Kumar"/>
    <n v="40"/>
    <s v="Female"/>
    <s v="Kidney Stone"/>
    <x v="5"/>
    <d v="2025-12-04T00:00:00"/>
    <d v="2025-12-08T00:00:00"/>
    <s v="December"/>
    <n v="4"/>
    <n v="24028"/>
  </r>
  <r>
    <x v="50"/>
    <s v="Imran Rather"/>
    <n v="75"/>
    <s v="Female"/>
    <s v="Asthma"/>
    <x v="4"/>
    <d v="2025-09-22T00:00:00"/>
    <d v="2025-09-25T00:00:00"/>
    <s v="September"/>
    <n v="3"/>
    <n v="33387"/>
  </r>
  <r>
    <x v="51"/>
    <s v="Rahul Rather"/>
    <n v="39"/>
    <s v="Female"/>
    <s v="Heart Disease"/>
    <x v="3"/>
    <d v="2025-12-15T00:00:00"/>
    <d v="2025-12-25T00:00:00"/>
    <s v="December"/>
    <n v="10"/>
    <n v="70540"/>
  </r>
  <r>
    <x v="52"/>
    <s v="Sara Malik"/>
    <n v="36"/>
    <s v="Male"/>
    <s v="Pneumonia"/>
    <x v="0"/>
    <d v="2025-09-25T00:00:00"/>
    <d v="2025-10-10T00:00:00"/>
    <s v="September"/>
    <n v="15"/>
    <n v="161925"/>
  </r>
  <r>
    <x v="53"/>
    <s v="Arjun Singh"/>
    <n v="73"/>
    <s v="Male"/>
    <s v="Heart Disease"/>
    <x v="7"/>
    <d v="2025-10-14T00:00:00"/>
    <d v="2025-10-17T00:00:00"/>
    <s v="October"/>
    <n v="3"/>
    <n v="32340"/>
  </r>
  <r>
    <x v="54"/>
    <s v="Zara Kumar"/>
    <n v="79"/>
    <s v="Female"/>
    <s v="Dengue"/>
    <x v="5"/>
    <d v="2025-06-01T00:00:00"/>
    <d v="2025-06-14T00:00:00"/>
    <s v="June"/>
    <n v="13"/>
    <n v="98137"/>
  </r>
  <r>
    <x v="55"/>
    <s v="Priya Kumar"/>
    <n v="65"/>
    <s v="Male"/>
    <s v="Heart Disease"/>
    <x v="2"/>
    <d v="2025-04-16T00:00:00"/>
    <d v="2025-04-18T00:00:00"/>
    <s v="April"/>
    <n v="2"/>
    <n v="17530"/>
  </r>
  <r>
    <x v="56"/>
    <s v="Kiran Malik"/>
    <n v="81"/>
    <s v="Male"/>
    <s v="Heart Disease"/>
    <x v="4"/>
    <d v="2025-03-05T00:00:00"/>
    <d v="2025-03-07T00:00:00"/>
    <s v="March"/>
    <n v="2"/>
    <n v="13930"/>
  </r>
  <r>
    <x v="57"/>
    <s v="Vikas Khan"/>
    <n v="52"/>
    <s v="Female"/>
    <s v="Kidney Stone"/>
    <x v="3"/>
    <d v="2025-03-20T00:00:00"/>
    <d v="2025-04-02T00:00:00"/>
    <s v="March"/>
    <n v="13"/>
    <n v="125242"/>
  </r>
  <r>
    <x v="58"/>
    <s v="Adil Malik"/>
    <n v="61"/>
    <s v="Female"/>
    <s v="Hypertension"/>
    <x v="4"/>
    <d v="2025-05-23T00:00:00"/>
    <d v="2025-05-29T00:00:00"/>
    <s v="May"/>
    <n v="6"/>
    <n v="45582"/>
  </r>
  <r>
    <x v="59"/>
    <s v="Neha Sharma"/>
    <n v="48"/>
    <s v="Male"/>
    <s v="Fever"/>
    <x v="4"/>
    <d v="2025-02-05T00:00:00"/>
    <d v="2025-02-20T00:00:00"/>
    <s v="February"/>
    <n v="15"/>
    <n v="127710"/>
  </r>
  <r>
    <x v="60"/>
    <s v="Imran Rather"/>
    <n v="29"/>
    <s v="Male"/>
    <s v="Covid-19"/>
    <x v="2"/>
    <d v="2025-05-17T00:00:00"/>
    <d v="2025-05-19T00:00:00"/>
    <s v="May"/>
    <n v="2"/>
    <n v="10778"/>
  </r>
  <r>
    <x v="61"/>
    <s v="Rohit Gupta"/>
    <n v="19"/>
    <s v="Female"/>
    <s v="Diabetes"/>
    <x v="6"/>
    <d v="2025-11-19T00:00:00"/>
    <d v="2025-12-03T00:00:00"/>
    <s v="November"/>
    <n v="14"/>
    <n v="154966"/>
  </r>
  <r>
    <x v="62"/>
    <s v="Zara Rather"/>
    <n v="49"/>
    <s v="Male"/>
    <s v="Kidney Stone"/>
    <x v="2"/>
    <d v="2025-02-07T00:00:00"/>
    <d v="2025-02-10T00:00:00"/>
    <s v="February"/>
    <n v="3"/>
    <n v="35943"/>
  </r>
  <r>
    <x v="63"/>
    <s v="Anita Sharma"/>
    <n v="39"/>
    <s v="Female"/>
    <s v="Heart Disease"/>
    <x v="7"/>
    <d v="2025-02-02T00:00:00"/>
    <d v="2025-02-11T00:00:00"/>
    <s v="February"/>
    <n v="9"/>
    <n v="43083"/>
  </r>
  <r>
    <x v="64"/>
    <s v="Adil Kapoor"/>
    <n v="89"/>
    <s v="Male"/>
    <s v="Hypertension"/>
    <x v="3"/>
    <d v="2025-08-22T00:00:00"/>
    <d v="2025-08-27T00:00:00"/>
    <s v="August"/>
    <n v="5"/>
    <n v="47870"/>
  </r>
  <r>
    <x v="65"/>
    <s v="Kiran Malik"/>
    <n v="66"/>
    <s v="Male"/>
    <s v="Dengue"/>
    <x v="1"/>
    <d v="2025-01-07T00:00:00"/>
    <d v="2025-01-09T00:00:00"/>
    <s v="January"/>
    <n v="2"/>
    <n v="19432"/>
  </r>
  <r>
    <x v="66"/>
    <s v="Rohit Kapoor"/>
    <n v="62"/>
    <s v="Female"/>
    <s v="Fever"/>
    <x v="1"/>
    <d v="2025-07-25T00:00:00"/>
    <d v="2025-07-30T00:00:00"/>
    <s v="July"/>
    <n v="5"/>
    <n v="44215"/>
  </r>
  <r>
    <x v="67"/>
    <s v="Imran Kapoor"/>
    <n v="18"/>
    <s v="Male"/>
    <s v="Covid-19"/>
    <x v="2"/>
    <d v="2025-10-06T00:00:00"/>
    <d v="2025-10-08T00:00:00"/>
    <s v="October"/>
    <n v="2"/>
    <n v="16430"/>
  </r>
  <r>
    <x v="68"/>
    <s v="Anita Kapoor"/>
    <n v="23"/>
    <s v="Male"/>
    <s v="Fever"/>
    <x v="6"/>
    <d v="2025-07-30T00:00:00"/>
    <d v="2025-08-10T00:00:00"/>
    <s v="July"/>
    <n v="11"/>
    <n v="85393"/>
  </r>
  <r>
    <x v="69"/>
    <s v="Kiran Sharma"/>
    <n v="20"/>
    <s v="Female"/>
    <s v="Pneumonia"/>
    <x v="2"/>
    <d v="2025-12-14T00:00:00"/>
    <d v="2025-12-21T00:00:00"/>
    <s v="December"/>
    <n v="7"/>
    <n v="50498"/>
  </r>
  <r>
    <x v="70"/>
    <s v="Sara Gupta"/>
    <n v="48"/>
    <s v="Male"/>
    <s v="Asthma"/>
    <x v="0"/>
    <d v="2025-01-23T00:00:00"/>
    <d v="2025-02-07T00:00:00"/>
    <s v="January"/>
    <n v="15"/>
    <n v="74100"/>
  </r>
  <r>
    <x v="71"/>
    <s v="Vikas Kumar"/>
    <n v="47"/>
    <s v="Female"/>
    <s v="Fever"/>
    <x v="4"/>
    <d v="2025-06-24T00:00:00"/>
    <d v="2025-07-09T00:00:00"/>
    <s v="June"/>
    <n v="15"/>
    <n v="163695"/>
  </r>
  <r>
    <x v="72"/>
    <s v="Vikas Rather"/>
    <n v="80"/>
    <s v="Female"/>
    <s v="Dengue"/>
    <x v="4"/>
    <d v="2025-09-17T00:00:00"/>
    <d v="2025-09-24T00:00:00"/>
    <s v="September"/>
    <n v="7"/>
    <n v="49623"/>
  </r>
  <r>
    <x v="73"/>
    <s v="Imran Singh"/>
    <n v="81"/>
    <s v="Female"/>
    <s v="Covid-19"/>
    <x v="1"/>
    <d v="2025-02-09T00:00:00"/>
    <d v="2025-02-22T00:00:00"/>
    <s v="February"/>
    <n v="13"/>
    <n v="129142"/>
  </r>
  <r>
    <x v="74"/>
    <s v="Aman Ali"/>
    <n v="76"/>
    <s v="Male"/>
    <s v="Migraine"/>
    <x v="4"/>
    <d v="2025-09-06T00:00:00"/>
    <d v="2025-09-12T00:00:00"/>
    <s v="September"/>
    <n v="6"/>
    <n v="55662"/>
  </r>
  <r>
    <x v="75"/>
    <s v="Priya Kumar"/>
    <n v="63"/>
    <s v="Male"/>
    <s v="Fever"/>
    <x v="3"/>
    <d v="2025-08-12T00:00:00"/>
    <d v="2025-08-14T00:00:00"/>
    <s v="August"/>
    <n v="2"/>
    <n v="10664"/>
  </r>
  <r>
    <x v="76"/>
    <s v="Imran Ali"/>
    <n v="68"/>
    <s v="Male"/>
    <s v="Pneumonia"/>
    <x v="4"/>
    <d v="2025-01-16T00:00:00"/>
    <d v="2025-01-29T00:00:00"/>
    <s v="January"/>
    <n v="13"/>
    <n v="75504"/>
  </r>
  <r>
    <x v="77"/>
    <s v="Anita Ali"/>
    <n v="78"/>
    <s v="Male"/>
    <s v="Pneumonia"/>
    <x v="6"/>
    <d v="2025-02-26T00:00:00"/>
    <d v="2025-03-13T00:00:00"/>
    <s v="February"/>
    <n v="15"/>
    <n v="148350"/>
  </r>
  <r>
    <x v="78"/>
    <s v="Pooja Singh"/>
    <n v="13"/>
    <s v="Male"/>
    <s v="Asthma"/>
    <x v="3"/>
    <d v="2025-07-27T00:00:00"/>
    <d v="2025-07-29T00:00:00"/>
    <s v="July"/>
    <n v="2"/>
    <n v="21730"/>
  </r>
  <r>
    <x v="79"/>
    <s v="Priya Sharma"/>
    <n v="56"/>
    <s v="Male"/>
    <s v="Fever"/>
    <x v="5"/>
    <d v="2025-10-13T00:00:00"/>
    <d v="2025-10-16T00:00:00"/>
    <s v="October"/>
    <n v="3"/>
    <n v="17433"/>
  </r>
  <r>
    <x v="80"/>
    <s v="Priya Rather"/>
    <n v="50"/>
    <s v="Male"/>
    <s v="Asthma"/>
    <x v="1"/>
    <d v="2025-10-06T00:00:00"/>
    <d v="2025-10-18T00:00:00"/>
    <s v="October"/>
    <n v="12"/>
    <n v="138456"/>
  </r>
  <r>
    <x v="81"/>
    <s v="Vikas Khan"/>
    <n v="90"/>
    <s v="Male"/>
    <s v="Kidney Stone"/>
    <x v="3"/>
    <d v="2025-11-22T00:00:00"/>
    <d v="2025-11-24T00:00:00"/>
    <s v="November"/>
    <n v="2"/>
    <n v="21558"/>
  </r>
  <r>
    <x v="82"/>
    <s v="Sara Rather"/>
    <n v="32"/>
    <s v="Female"/>
    <s v="Hypertension"/>
    <x v="4"/>
    <d v="2025-09-07T00:00:00"/>
    <d v="2025-09-22T00:00:00"/>
    <s v="September"/>
    <n v="15"/>
    <n v="69480"/>
  </r>
  <r>
    <x v="83"/>
    <s v="Sara Sharma"/>
    <n v="31"/>
    <s v="Male"/>
    <s v="Diabetes"/>
    <x v="5"/>
    <d v="2025-08-27T00:00:00"/>
    <d v="2025-08-31T00:00:00"/>
    <s v="August"/>
    <n v="4"/>
    <n v="30972"/>
  </r>
  <r>
    <x v="84"/>
    <s v="Sara Malik"/>
    <n v="40"/>
    <s v="Female"/>
    <s v="Heart Disease"/>
    <x v="0"/>
    <d v="2025-06-09T00:00:00"/>
    <d v="2025-06-17T00:00:00"/>
    <s v="June"/>
    <n v="8"/>
    <n v="47360"/>
  </r>
  <r>
    <x v="85"/>
    <s v="Adil Kumar"/>
    <n v="46"/>
    <s v="Male"/>
    <s v="Covid-19"/>
    <x v="0"/>
    <d v="2025-11-12T00:00:00"/>
    <d v="2025-11-14T00:00:00"/>
    <s v="November"/>
    <n v="2"/>
    <n v="14318"/>
  </r>
  <r>
    <x v="86"/>
    <s v="Vikas Khan"/>
    <n v="38"/>
    <s v="Female"/>
    <s v="Covid-19"/>
    <x v="5"/>
    <d v="2025-07-17T00:00:00"/>
    <d v="2025-07-28T00:00:00"/>
    <s v="July"/>
    <n v="11"/>
    <n v="45276"/>
  </r>
  <r>
    <x v="87"/>
    <s v="Imran Ali"/>
    <n v="53"/>
    <s v="Female"/>
    <s v="Diabetes"/>
    <x v="7"/>
    <d v="2025-12-21T00:00:00"/>
    <d v="2026-01-03T00:00:00"/>
    <s v="December"/>
    <n v="13"/>
    <n v="57122"/>
  </r>
  <r>
    <x v="88"/>
    <s v="Kiran Kumar"/>
    <n v="57"/>
    <s v="Female"/>
    <s v="Fever"/>
    <x v="1"/>
    <d v="2025-10-21T00:00:00"/>
    <d v="2025-10-31T00:00:00"/>
    <s v="October"/>
    <n v="10"/>
    <n v="70500"/>
  </r>
  <r>
    <x v="89"/>
    <s v="Pooja Sharma"/>
    <n v="74"/>
    <s v="Male"/>
    <s v="Heart Disease"/>
    <x v="2"/>
    <d v="2025-02-28T00:00:00"/>
    <d v="2025-03-11T00:00:00"/>
    <s v="February"/>
    <n v="11"/>
    <n v="128304"/>
  </r>
  <r>
    <x v="90"/>
    <s v="Rahul Kumar"/>
    <n v="60"/>
    <s v="Female"/>
    <s v="Asthma"/>
    <x v="2"/>
    <d v="2025-11-15T00:00:00"/>
    <d v="2025-11-28T00:00:00"/>
    <s v="November"/>
    <n v="13"/>
    <n v="113828"/>
  </r>
  <r>
    <x v="91"/>
    <s v="Rahul Kapoor"/>
    <n v="44"/>
    <s v="Female"/>
    <s v="Covid-19"/>
    <x v="6"/>
    <d v="2025-04-24T00:00:00"/>
    <d v="2025-05-04T00:00:00"/>
    <s v="April"/>
    <n v="10"/>
    <n v="93830"/>
  </r>
  <r>
    <x v="92"/>
    <s v="Rahul Kumar"/>
    <n v="68"/>
    <s v="Female"/>
    <s v="Diabetes"/>
    <x v="7"/>
    <d v="2025-03-24T00:00:00"/>
    <d v="2025-03-28T00:00:00"/>
    <s v="March"/>
    <n v="4"/>
    <n v="44476"/>
  </r>
  <r>
    <x v="93"/>
    <s v="Vikas Khan"/>
    <n v="73"/>
    <s v="Female"/>
    <s v="Covid-19"/>
    <x v="0"/>
    <d v="2025-07-02T00:00:00"/>
    <d v="2025-07-12T00:00:00"/>
    <s v="July"/>
    <n v="10"/>
    <n v="106910"/>
  </r>
  <r>
    <x v="94"/>
    <s v="Priya Gupta"/>
    <n v="72"/>
    <s v="Male"/>
    <s v="Hypertension"/>
    <x v="2"/>
    <d v="2025-12-07T00:00:00"/>
    <d v="2025-12-12T00:00:00"/>
    <s v="December"/>
    <n v="5"/>
    <n v="53485"/>
  </r>
  <r>
    <x v="95"/>
    <s v="Mehak Rather"/>
    <n v="70"/>
    <s v="Male"/>
    <s v="Dengue"/>
    <x v="3"/>
    <d v="2025-06-01T00:00:00"/>
    <d v="2025-06-04T00:00:00"/>
    <s v="June"/>
    <n v="3"/>
    <n v="33045"/>
  </r>
  <r>
    <x v="96"/>
    <s v="Rohit Kapoor"/>
    <n v="70"/>
    <s v="Male"/>
    <s v="Heart Disease"/>
    <x v="1"/>
    <d v="2025-04-28T00:00:00"/>
    <d v="2025-05-06T00:00:00"/>
    <s v="April"/>
    <n v="8"/>
    <n v="46896"/>
  </r>
  <r>
    <x v="97"/>
    <s v="Mehak Verma"/>
    <n v="64"/>
    <s v="Female"/>
    <s v="Pneumonia"/>
    <x v="3"/>
    <d v="2025-06-09T00:00:00"/>
    <d v="2025-06-23T00:00:00"/>
    <s v="June"/>
    <n v="14"/>
    <n v="93520"/>
  </r>
  <r>
    <x v="98"/>
    <s v="Mehak Khan"/>
    <n v="82"/>
    <s v="Male"/>
    <s v="Diabetes"/>
    <x v="7"/>
    <d v="2025-08-04T00:00:00"/>
    <d v="2025-08-10T00:00:00"/>
    <s v="August"/>
    <n v="6"/>
    <n v="49950"/>
  </r>
  <r>
    <x v="99"/>
    <s v="Aman Rather"/>
    <n v="72"/>
    <s v="Male"/>
    <s v="Fever"/>
    <x v="6"/>
    <d v="2025-12-01T00:00:00"/>
    <d v="2025-12-13T00:00:00"/>
    <s v="December"/>
    <n v="12"/>
    <n v="128004"/>
  </r>
  <r>
    <x v="100"/>
    <s v="Priya Gupta"/>
    <n v="21"/>
    <s v="Female"/>
    <s v="Pneumonia"/>
    <x v="1"/>
    <d v="2025-09-13T00:00:00"/>
    <d v="2025-09-15T00:00:00"/>
    <s v="September"/>
    <n v="2"/>
    <n v="11530"/>
  </r>
  <r>
    <x v="101"/>
    <s v="Adil Kumar"/>
    <n v="87"/>
    <s v="Male"/>
    <s v="Covid-19"/>
    <x v="2"/>
    <d v="2025-12-16T00:00:00"/>
    <d v="2025-12-26T00:00:00"/>
    <s v="December"/>
    <n v="10"/>
    <n v="63420"/>
  </r>
  <r>
    <x v="102"/>
    <s v="Arjun Malik"/>
    <n v="66"/>
    <s v="Male"/>
    <s v="Diabetes"/>
    <x v="2"/>
    <d v="2025-06-30T00:00:00"/>
    <d v="2025-07-12T00:00:00"/>
    <s v="June"/>
    <n v="12"/>
    <n v="83820"/>
  </r>
  <r>
    <x v="103"/>
    <s v="Vikas Singh"/>
    <n v="74"/>
    <s v="Female"/>
    <s v="Pneumonia"/>
    <x v="4"/>
    <d v="2025-06-11T00:00:00"/>
    <d v="2025-06-26T00:00:00"/>
    <s v="June"/>
    <n v="15"/>
    <n v="168975"/>
  </r>
  <r>
    <x v="104"/>
    <s v="Kiran Gupta"/>
    <n v="10"/>
    <s v="Female"/>
    <s v="Kidney Stone"/>
    <x v="0"/>
    <d v="2025-10-07T00:00:00"/>
    <d v="2025-10-09T00:00:00"/>
    <s v="October"/>
    <n v="2"/>
    <n v="18190"/>
  </r>
  <r>
    <x v="105"/>
    <s v="Imran Rather"/>
    <n v="31"/>
    <s v="Male"/>
    <s v="Diabetes"/>
    <x v="3"/>
    <d v="2025-10-09T00:00:00"/>
    <d v="2025-10-15T00:00:00"/>
    <s v="October"/>
    <n v="6"/>
    <n v="53124"/>
  </r>
  <r>
    <x v="106"/>
    <s v="Imran Verma"/>
    <n v="23"/>
    <s v="Female"/>
    <s v="Pneumonia"/>
    <x v="6"/>
    <d v="2025-11-21T00:00:00"/>
    <d v="2025-12-03T00:00:00"/>
    <s v="November"/>
    <n v="12"/>
    <n v="53556"/>
  </r>
  <r>
    <x v="107"/>
    <s v="Adil Kapoor"/>
    <n v="86"/>
    <s v="Male"/>
    <s v="Hypertension"/>
    <x v="3"/>
    <d v="2025-12-31T00:00:00"/>
    <d v="2026-01-13T00:00:00"/>
    <s v="December"/>
    <n v="13"/>
    <n v="81822"/>
  </r>
  <r>
    <x v="108"/>
    <s v="Arjun Rather"/>
    <n v="85"/>
    <s v="Male"/>
    <s v="Kidney Stone"/>
    <x v="0"/>
    <d v="2025-04-23T00:00:00"/>
    <d v="2025-04-28T00:00:00"/>
    <s v="April"/>
    <n v="5"/>
    <n v="54860"/>
  </r>
  <r>
    <x v="109"/>
    <s v="Pooja Ali"/>
    <n v="1"/>
    <s v="Male"/>
    <s v="Hypertension"/>
    <x v="2"/>
    <d v="2025-07-24T00:00:00"/>
    <d v="2025-07-30T00:00:00"/>
    <s v="July"/>
    <n v="6"/>
    <n v="45756"/>
  </r>
  <r>
    <x v="110"/>
    <s v="Sara Rather"/>
    <n v="33"/>
    <s v="Male"/>
    <s v="Pneumonia"/>
    <x v="0"/>
    <d v="2025-08-23T00:00:00"/>
    <d v="2025-09-05T00:00:00"/>
    <s v="August"/>
    <n v="13"/>
    <n v="106197"/>
  </r>
  <r>
    <x v="111"/>
    <s v="Sara Khan"/>
    <n v="4"/>
    <s v="Male"/>
    <s v="Dengue"/>
    <x v="0"/>
    <d v="2025-02-17T00:00:00"/>
    <d v="2025-03-03T00:00:00"/>
    <s v="February"/>
    <n v="14"/>
    <n v="110628"/>
  </r>
  <r>
    <x v="112"/>
    <s v="Imran Kapoor"/>
    <n v="65"/>
    <s v="Female"/>
    <s v="Dengue"/>
    <x v="2"/>
    <d v="2025-05-01T00:00:00"/>
    <d v="2025-05-14T00:00:00"/>
    <s v="May"/>
    <n v="13"/>
    <n v="135564"/>
  </r>
  <r>
    <x v="113"/>
    <s v="Arjun Rather"/>
    <n v="14"/>
    <s v="Male"/>
    <s v="Migraine"/>
    <x v="0"/>
    <d v="2025-01-01T00:00:00"/>
    <d v="2025-01-06T00:00:00"/>
    <s v="January"/>
    <n v="5"/>
    <n v="50035"/>
  </r>
  <r>
    <x v="114"/>
    <s v="Adil Malik"/>
    <n v="51"/>
    <s v="Female"/>
    <s v="Migraine"/>
    <x v="2"/>
    <d v="2025-02-06T00:00:00"/>
    <d v="2025-02-10T00:00:00"/>
    <s v="February"/>
    <n v="4"/>
    <n v="32492"/>
  </r>
  <r>
    <x v="115"/>
    <s v="Rohit Kapoor"/>
    <n v="50"/>
    <s v="Male"/>
    <s v="Fever"/>
    <x v="6"/>
    <d v="2025-08-12T00:00:00"/>
    <d v="2025-08-23T00:00:00"/>
    <s v="August"/>
    <n v="11"/>
    <n v="131472"/>
  </r>
  <r>
    <x v="116"/>
    <s v="Arjun Singh"/>
    <n v="29"/>
    <s v="Female"/>
    <s v="Asthma"/>
    <x v="5"/>
    <d v="2025-07-30T00:00:00"/>
    <d v="2025-08-11T00:00:00"/>
    <s v="July"/>
    <n v="12"/>
    <n v="139032"/>
  </r>
  <r>
    <x v="117"/>
    <s v="Aman Rather"/>
    <n v="48"/>
    <s v="Male"/>
    <s v="Kidney Stone"/>
    <x v="5"/>
    <d v="2025-05-06T00:00:00"/>
    <d v="2025-05-10T00:00:00"/>
    <s v="May"/>
    <n v="4"/>
    <n v="32432"/>
  </r>
  <r>
    <x v="118"/>
    <s v="Imran Khan"/>
    <n v="60"/>
    <s v="Male"/>
    <s v="Diabetes"/>
    <x v="7"/>
    <d v="2025-11-24T00:00:00"/>
    <d v="2025-12-09T00:00:00"/>
    <s v="November"/>
    <n v="15"/>
    <n v="81915"/>
  </r>
  <r>
    <x v="119"/>
    <s v="Mehak Khan"/>
    <n v="49"/>
    <s v="Male"/>
    <s v="Kidney Stone"/>
    <x v="6"/>
    <d v="2025-12-13T00:00:00"/>
    <d v="2025-12-21T00:00:00"/>
    <s v="December"/>
    <n v="8"/>
    <n v="40744"/>
  </r>
  <r>
    <x v="120"/>
    <s v="Rahul Singh"/>
    <n v="29"/>
    <s v="Female"/>
    <s v="Dengue"/>
    <x v="4"/>
    <d v="2025-10-15T00:00:00"/>
    <d v="2025-10-22T00:00:00"/>
    <s v="October"/>
    <n v="7"/>
    <n v="71659"/>
  </r>
  <r>
    <x v="121"/>
    <s v="Vikas Ali"/>
    <n v="61"/>
    <s v="Male"/>
    <s v="Covid-19"/>
    <x v="6"/>
    <d v="2025-05-04T00:00:00"/>
    <d v="2025-05-11T00:00:00"/>
    <s v="May"/>
    <n v="7"/>
    <n v="48468"/>
  </r>
  <r>
    <x v="122"/>
    <s v="Zara Singh"/>
    <n v="19"/>
    <s v="Female"/>
    <s v="Asthma"/>
    <x v="3"/>
    <d v="2025-01-08T00:00:00"/>
    <d v="2025-01-20T00:00:00"/>
    <s v="January"/>
    <n v="12"/>
    <n v="90084"/>
  </r>
  <r>
    <x v="123"/>
    <s v="Priya Ali"/>
    <n v="46"/>
    <s v="Female"/>
    <s v="Heart Disease"/>
    <x v="2"/>
    <d v="2025-03-30T00:00:00"/>
    <d v="2025-04-01T00:00:00"/>
    <s v="March"/>
    <n v="2"/>
    <n v="13502"/>
  </r>
  <r>
    <x v="124"/>
    <s v="Vikas Ali"/>
    <n v="60"/>
    <s v="Female"/>
    <s v="Migraine"/>
    <x v="3"/>
    <d v="2025-04-24T00:00:00"/>
    <d v="2025-04-30T00:00:00"/>
    <s v="April"/>
    <n v="6"/>
    <n v="29898"/>
  </r>
  <r>
    <x v="125"/>
    <s v="Aman Kumar"/>
    <n v="60"/>
    <s v="Male"/>
    <s v="Diabetes"/>
    <x v="7"/>
    <d v="2025-04-07T00:00:00"/>
    <d v="2025-04-15T00:00:00"/>
    <s v="April"/>
    <n v="8"/>
    <n v="37232"/>
  </r>
  <r>
    <x v="126"/>
    <s v="Arjun Kapoor"/>
    <n v="36"/>
    <s v="Male"/>
    <s v="Migraine"/>
    <x v="6"/>
    <d v="2025-04-20T00:00:00"/>
    <d v="2025-05-01T00:00:00"/>
    <s v="April"/>
    <n v="11"/>
    <n v="112970"/>
  </r>
  <r>
    <x v="127"/>
    <s v="Aman Rather"/>
    <n v="20"/>
    <s v="Male"/>
    <s v="Covid-19"/>
    <x v="2"/>
    <d v="2025-01-02T00:00:00"/>
    <d v="2025-01-12T00:00:00"/>
    <s v="January"/>
    <n v="10"/>
    <n v="112810"/>
  </r>
  <r>
    <x v="128"/>
    <s v="Adil Rather"/>
    <n v="72"/>
    <s v="Female"/>
    <s v="Hypertension"/>
    <x v="7"/>
    <d v="2025-03-28T00:00:00"/>
    <d v="2025-03-30T00:00:00"/>
    <s v="March"/>
    <n v="2"/>
    <n v="11654"/>
  </r>
  <r>
    <x v="129"/>
    <s v="Vikas Rather"/>
    <n v="20"/>
    <s v="Female"/>
    <s v="Fever"/>
    <x v="1"/>
    <d v="2025-10-25T00:00:00"/>
    <d v="2025-10-26T00:00:00"/>
    <s v="October"/>
    <n v="1"/>
    <n v="6788"/>
  </r>
  <r>
    <x v="130"/>
    <s v="Vikas Khan"/>
    <n v="19"/>
    <s v="Male"/>
    <s v="Covid-19"/>
    <x v="1"/>
    <d v="2025-03-26T00:00:00"/>
    <d v="2025-04-05T00:00:00"/>
    <s v="March"/>
    <n v="10"/>
    <n v="75910"/>
  </r>
  <r>
    <x v="131"/>
    <s v="Rahul Gupta"/>
    <n v="7"/>
    <s v="Male"/>
    <s v="Hypertension"/>
    <x v="2"/>
    <d v="2025-12-26T00:00:00"/>
    <d v="2026-01-09T00:00:00"/>
    <s v="December"/>
    <n v="14"/>
    <n v="88074"/>
  </r>
  <r>
    <x v="132"/>
    <s v="Mehak Gupta"/>
    <n v="11"/>
    <s v="Female"/>
    <s v="Covid-19"/>
    <x v="7"/>
    <d v="2025-10-04T00:00:00"/>
    <d v="2025-10-12T00:00:00"/>
    <s v="October"/>
    <n v="8"/>
    <n v="85432"/>
  </r>
  <r>
    <x v="133"/>
    <s v="Aman Khan"/>
    <n v="12"/>
    <s v="Female"/>
    <s v="Pneumonia"/>
    <x v="3"/>
    <d v="2025-07-11T00:00:00"/>
    <d v="2025-07-23T00:00:00"/>
    <s v="July"/>
    <n v="12"/>
    <n v="110892"/>
  </r>
  <r>
    <x v="134"/>
    <s v="Mehak Kumar"/>
    <n v="38"/>
    <s v="Male"/>
    <s v="Hypertension"/>
    <x v="1"/>
    <d v="2025-06-05T00:00:00"/>
    <d v="2025-06-06T00:00:00"/>
    <s v="June"/>
    <n v="1"/>
    <n v="10032"/>
  </r>
  <r>
    <x v="135"/>
    <s v="Rahul Rather"/>
    <n v="78"/>
    <s v="Female"/>
    <s v="Migraine"/>
    <x v="4"/>
    <d v="2025-02-21T00:00:00"/>
    <d v="2025-03-03T00:00:00"/>
    <s v="February"/>
    <n v="10"/>
    <n v="57670"/>
  </r>
  <r>
    <x v="136"/>
    <s v="Pooja Sharma"/>
    <n v="27"/>
    <s v="Male"/>
    <s v="Dengue"/>
    <x v="7"/>
    <d v="2025-09-19T00:00:00"/>
    <d v="2025-10-03T00:00:00"/>
    <s v="September"/>
    <n v="14"/>
    <n v="66682"/>
  </r>
  <r>
    <x v="137"/>
    <s v="Pooja Singh"/>
    <n v="60"/>
    <s v="Male"/>
    <s v="Covid-19"/>
    <x v="4"/>
    <d v="2025-03-25T00:00:00"/>
    <d v="2025-03-27T00:00:00"/>
    <s v="March"/>
    <n v="2"/>
    <n v="8792"/>
  </r>
  <r>
    <x v="138"/>
    <s v="Anita Malik"/>
    <n v="65"/>
    <s v="Male"/>
    <s v="Migraine"/>
    <x v="6"/>
    <d v="2025-07-29T00:00:00"/>
    <d v="2025-07-30T00:00:00"/>
    <s v="July"/>
    <n v="1"/>
    <n v="7452"/>
  </r>
  <r>
    <x v="139"/>
    <s v="Kiran Rather"/>
    <n v="43"/>
    <s v="Male"/>
    <s v="Fever"/>
    <x v="2"/>
    <d v="2025-10-02T00:00:00"/>
    <d v="2025-10-06T00:00:00"/>
    <s v="October"/>
    <n v="4"/>
    <n v="17724"/>
  </r>
  <r>
    <x v="140"/>
    <s v="Kiran Verma"/>
    <n v="33"/>
    <s v="Female"/>
    <s v="Kidney Stone"/>
    <x v="1"/>
    <d v="2025-09-28T00:00:00"/>
    <d v="2025-09-29T00:00:00"/>
    <s v="September"/>
    <n v="1"/>
    <n v="11098"/>
  </r>
  <r>
    <x v="141"/>
    <s v="Mehak Malik"/>
    <n v="58"/>
    <s v="Female"/>
    <s v="Dengue"/>
    <x v="3"/>
    <d v="2025-06-17T00:00:00"/>
    <d v="2025-07-02T00:00:00"/>
    <s v="June"/>
    <n v="15"/>
    <n v="119145"/>
  </r>
  <r>
    <x v="142"/>
    <s v="Zara Malik"/>
    <n v="63"/>
    <s v="Female"/>
    <s v="Heart Disease"/>
    <x v="4"/>
    <d v="2025-09-26T00:00:00"/>
    <d v="2025-09-30T00:00:00"/>
    <s v="September"/>
    <n v="4"/>
    <n v="19508"/>
  </r>
  <r>
    <x v="143"/>
    <s v="Adil Malik"/>
    <n v="38"/>
    <s v="Female"/>
    <s v="Dengue"/>
    <x v="0"/>
    <d v="2025-06-21T00:00:00"/>
    <d v="2025-06-28T00:00:00"/>
    <s v="June"/>
    <n v="7"/>
    <n v="66661"/>
  </r>
  <r>
    <x v="144"/>
    <s v="Mehak Kapoor"/>
    <n v="38"/>
    <s v="Female"/>
    <s v="Dengue"/>
    <x v="7"/>
    <d v="2025-07-15T00:00:00"/>
    <d v="2025-07-16T00:00:00"/>
    <s v="July"/>
    <n v="1"/>
    <n v="8065"/>
  </r>
  <r>
    <x v="145"/>
    <s v="Mehak Gupta"/>
    <n v="87"/>
    <s v="Male"/>
    <s v="Kidney Stone"/>
    <x v="0"/>
    <d v="2025-12-02T00:00:00"/>
    <d v="2025-12-14T00:00:00"/>
    <s v="December"/>
    <n v="12"/>
    <n v="77064"/>
  </r>
  <r>
    <x v="146"/>
    <s v="Arjun Ali"/>
    <n v="35"/>
    <s v="Female"/>
    <s v="Diabetes"/>
    <x v="4"/>
    <d v="2025-08-30T00:00:00"/>
    <d v="2025-09-12T00:00:00"/>
    <s v="August"/>
    <n v="13"/>
    <n v="131391"/>
  </r>
  <r>
    <x v="147"/>
    <s v="Kiran Rather"/>
    <n v="82"/>
    <s v="Male"/>
    <s v="Kidney Stone"/>
    <x v="0"/>
    <d v="2025-01-07T00:00:00"/>
    <d v="2025-01-21T00:00:00"/>
    <s v="January"/>
    <n v="14"/>
    <n v="157808"/>
  </r>
  <r>
    <x v="148"/>
    <s v="Priya Kumar"/>
    <n v="15"/>
    <s v="Male"/>
    <s v="Asthma"/>
    <x v="1"/>
    <d v="2025-11-11T00:00:00"/>
    <d v="2025-11-24T00:00:00"/>
    <s v="November"/>
    <n v="13"/>
    <n v="64142"/>
  </r>
  <r>
    <x v="149"/>
    <s v="Priya Malik"/>
    <n v="20"/>
    <s v="Male"/>
    <s v="Covid-19"/>
    <x v="7"/>
    <d v="2025-03-27T00:00:00"/>
    <d v="2025-04-05T00:00:00"/>
    <s v="March"/>
    <n v="9"/>
    <n v="97470"/>
  </r>
  <r>
    <x v="150"/>
    <s v="Rohit Malik"/>
    <n v="73"/>
    <s v="Female"/>
    <s v="Hypertension"/>
    <x v="1"/>
    <d v="2025-02-10T00:00:00"/>
    <d v="2025-02-11T00:00:00"/>
    <s v="February"/>
    <n v="1"/>
    <n v="10280"/>
  </r>
  <r>
    <x v="151"/>
    <s v="Imran Gupta"/>
    <n v="81"/>
    <s v="Male"/>
    <s v="Pneumonia"/>
    <x v="6"/>
    <d v="2025-11-29T00:00:00"/>
    <d v="2025-12-09T00:00:00"/>
    <s v="November"/>
    <n v="10"/>
    <n v="62580"/>
  </r>
  <r>
    <x v="152"/>
    <s v="Neha Gupta"/>
    <n v="32"/>
    <s v="Female"/>
    <s v="Dengue"/>
    <x v="3"/>
    <d v="2025-11-23T00:00:00"/>
    <d v="2025-12-03T00:00:00"/>
    <s v="November"/>
    <n v="10"/>
    <n v="88870"/>
  </r>
  <r>
    <x v="153"/>
    <s v="Aman Khan"/>
    <n v="60"/>
    <s v="Male"/>
    <s v="Pneumonia"/>
    <x v="1"/>
    <d v="2025-06-06T00:00:00"/>
    <d v="2025-06-16T00:00:00"/>
    <s v="June"/>
    <n v="10"/>
    <n v="49760"/>
  </r>
  <r>
    <x v="154"/>
    <s v="Rohit Malik"/>
    <n v="43"/>
    <s v="Female"/>
    <s v="Asthma"/>
    <x v="3"/>
    <d v="2025-02-08T00:00:00"/>
    <d v="2025-02-09T00:00:00"/>
    <s v="February"/>
    <n v="1"/>
    <n v="4027"/>
  </r>
  <r>
    <x v="155"/>
    <s v="Sara Malik"/>
    <n v="75"/>
    <s v="Male"/>
    <s v="Covid-19"/>
    <x v="5"/>
    <d v="2025-12-06T00:00:00"/>
    <d v="2025-12-18T00:00:00"/>
    <s v="December"/>
    <n v="12"/>
    <n v="128676"/>
  </r>
  <r>
    <x v="156"/>
    <s v="Pooja Sharma"/>
    <n v="41"/>
    <s v="Female"/>
    <s v="Hypertension"/>
    <x v="5"/>
    <d v="2025-09-24T00:00:00"/>
    <d v="2025-10-04T00:00:00"/>
    <s v="September"/>
    <n v="10"/>
    <n v="105720"/>
  </r>
  <r>
    <x v="157"/>
    <s v="Kiran Khan"/>
    <n v="32"/>
    <s v="Female"/>
    <s v="Kidney Stone"/>
    <x v="6"/>
    <d v="2025-01-22T00:00:00"/>
    <d v="2025-01-30T00:00:00"/>
    <s v="January"/>
    <n v="8"/>
    <n v="38632"/>
  </r>
  <r>
    <x v="158"/>
    <s v="Mehak Gupta"/>
    <n v="55"/>
    <s v="Female"/>
    <s v="Hypertension"/>
    <x v="3"/>
    <d v="2025-06-22T00:00:00"/>
    <d v="2025-07-05T00:00:00"/>
    <s v="June"/>
    <n v="13"/>
    <n v="68185"/>
  </r>
  <r>
    <x v="159"/>
    <s v="Sara Kapoor"/>
    <n v="37"/>
    <s v="Female"/>
    <s v="Heart Disease"/>
    <x v="7"/>
    <d v="2025-09-15T00:00:00"/>
    <d v="2025-09-25T00:00:00"/>
    <s v="September"/>
    <n v="10"/>
    <n v="109920"/>
  </r>
  <r>
    <x v="160"/>
    <s v="Sara Khan"/>
    <n v="9"/>
    <s v="Female"/>
    <s v="Dengue"/>
    <x v="5"/>
    <d v="2025-07-24T00:00:00"/>
    <d v="2025-07-29T00:00:00"/>
    <s v="July"/>
    <n v="5"/>
    <n v="23120"/>
  </r>
  <r>
    <x v="161"/>
    <s v="Arjun Kumar"/>
    <n v="53"/>
    <s v="Female"/>
    <s v="Asthma"/>
    <x v="1"/>
    <d v="2025-09-30T00:00:00"/>
    <d v="2025-10-11T00:00:00"/>
    <s v="September"/>
    <n v="11"/>
    <n v="106755"/>
  </r>
  <r>
    <x v="162"/>
    <s v="Neha Kumar"/>
    <n v="75"/>
    <s v="Female"/>
    <s v="Dengue"/>
    <x v="1"/>
    <d v="2025-02-23T00:00:00"/>
    <d v="2025-03-10T00:00:00"/>
    <s v="February"/>
    <n v="15"/>
    <n v="164280"/>
  </r>
  <r>
    <x v="163"/>
    <s v="Neha Kapoor"/>
    <n v="21"/>
    <s v="Male"/>
    <s v="Kidney Stone"/>
    <x v="0"/>
    <d v="2025-04-21T00:00:00"/>
    <d v="2025-04-23T00:00:00"/>
    <s v="April"/>
    <n v="2"/>
    <n v="20326"/>
  </r>
  <r>
    <x v="164"/>
    <s v="Arjun Rather"/>
    <n v="60"/>
    <s v="Male"/>
    <s v="Kidney Stone"/>
    <x v="3"/>
    <d v="2025-05-29T00:00:00"/>
    <d v="2025-06-06T00:00:00"/>
    <s v="May"/>
    <n v="8"/>
    <n v="77664"/>
  </r>
  <r>
    <x v="165"/>
    <s v="Zara Gupta"/>
    <n v="79"/>
    <s v="Male"/>
    <s v="Heart Disease"/>
    <x v="2"/>
    <d v="2025-11-02T00:00:00"/>
    <d v="2025-11-12T00:00:00"/>
    <s v="November"/>
    <n v="10"/>
    <n v="72930"/>
  </r>
  <r>
    <x v="166"/>
    <s v="Rohit Gupta"/>
    <n v="36"/>
    <s v="Male"/>
    <s v="Hypertension"/>
    <x v="2"/>
    <d v="2025-07-18T00:00:00"/>
    <d v="2025-07-20T00:00:00"/>
    <s v="July"/>
    <n v="2"/>
    <n v="22000"/>
  </r>
  <r>
    <x v="167"/>
    <s v="Pooja Kumar"/>
    <n v="13"/>
    <s v="Male"/>
    <s v="Diabetes"/>
    <x v="3"/>
    <d v="2025-05-03T00:00:00"/>
    <d v="2025-05-05T00:00:00"/>
    <s v="May"/>
    <n v="2"/>
    <n v="21068"/>
  </r>
  <r>
    <x v="168"/>
    <s v="Pooja Verma"/>
    <n v="54"/>
    <s v="Male"/>
    <s v="Heart Disease"/>
    <x v="3"/>
    <d v="2025-06-24T00:00:00"/>
    <d v="2025-07-07T00:00:00"/>
    <s v="June"/>
    <n v="13"/>
    <n v="96122"/>
  </r>
  <r>
    <x v="169"/>
    <s v="Adil Malik"/>
    <n v="69"/>
    <s v="Female"/>
    <s v="Diabetes"/>
    <x v="4"/>
    <d v="2025-05-17T00:00:00"/>
    <d v="2025-05-23T00:00:00"/>
    <s v="May"/>
    <n v="6"/>
    <n v="30552"/>
  </r>
  <r>
    <x v="170"/>
    <s v="Vikas Sharma"/>
    <n v="20"/>
    <s v="Female"/>
    <s v="Hypertension"/>
    <x v="0"/>
    <d v="2025-10-10T00:00:00"/>
    <d v="2025-10-20T00:00:00"/>
    <s v="October"/>
    <n v="10"/>
    <n v="118350"/>
  </r>
  <r>
    <x v="171"/>
    <s v="Anita Kapoor"/>
    <n v="11"/>
    <s v="Female"/>
    <s v="Pneumonia"/>
    <x v="1"/>
    <d v="2025-09-12T00:00:00"/>
    <d v="2025-09-13T00:00:00"/>
    <s v="September"/>
    <n v="1"/>
    <n v="10102"/>
  </r>
  <r>
    <x v="172"/>
    <s v="Aman Khan"/>
    <n v="31"/>
    <s v="Female"/>
    <s v="Asthma"/>
    <x v="1"/>
    <d v="2025-06-07T00:00:00"/>
    <d v="2025-06-20T00:00:00"/>
    <s v="June"/>
    <n v="13"/>
    <n v="96876"/>
  </r>
  <r>
    <x v="173"/>
    <s v="Mehak Singh"/>
    <n v="80"/>
    <s v="Male"/>
    <s v="Covid-19"/>
    <x v="4"/>
    <d v="2025-05-20T00:00:00"/>
    <d v="2025-06-04T00:00:00"/>
    <s v="May"/>
    <n v="15"/>
    <n v="107970"/>
  </r>
  <r>
    <x v="174"/>
    <s v="Kiran Kapoor"/>
    <n v="34"/>
    <s v="Male"/>
    <s v="Diabetes"/>
    <x v="5"/>
    <d v="2025-02-17T00:00:00"/>
    <d v="2025-02-18T00:00:00"/>
    <s v="February"/>
    <n v="1"/>
    <n v="7615"/>
  </r>
  <r>
    <x v="175"/>
    <s v="Mehak Sharma"/>
    <n v="24"/>
    <s v="Female"/>
    <s v="Covid-19"/>
    <x v="2"/>
    <d v="2025-04-23T00:00:00"/>
    <d v="2025-04-29T00:00:00"/>
    <s v="April"/>
    <n v="6"/>
    <n v="51642"/>
  </r>
  <r>
    <x v="176"/>
    <s v="Neha Singh"/>
    <n v="58"/>
    <s v="Male"/>
    <s v="Migraine"/>
    <x v="0"/>
    <d v="2025-07-01T00:00:00"/>
    <d v="2025-07-09T00:00:00"/>
    <s v="July"/>
    <n v="8"/>
    <n v="54784"/>
  </r>
  <r>
    <x v="177"/>
    <s v="Pooja Gupta"/>
    <n v="6"/>
    <s v="Male"/>
    <s v="Hypertension"/>
    <x v="4"/>
    <d v="2025-05-18T00:00:00"/>
    <d v="2025-05-27T00:00:00"/>
    <s v="May"/>
    <n v="9"/>
    <n v="63108"/>
  </r>
  <r>
    <x v="178"/>
    <s v="Neha Singh"/>
    <n v="57"/>
    <s v="Male"/>
    <s v="Migraine"/>
    <x v="3"/>
    <d v="2025-04-14T00:00:00"/>
    <d v="2025-04-27T00:00:00"/>
    <s v="April"/>
    <n v="13"/>
    <n v="117442"/>
  </r>
  <r>
    <x v="179"/>
    <s v="Vikas Sharma"/>
    <n v="57"/>
    <s v="Male"/>
    <s v="Pneumonia"/>
    <x v="6"/>
    <d v="2025-04-04T00:00:00"/>
    <d v="2025-04-15T00:00:00"/>
    <s v="April"/>
    <n v="11"/>
    <n v="101497"/>
  </r>
  <r>
    <x v="180"/>
    <s v="Vikas Verma"/>
    <n v="64"/>
    <s v="Male"/>
    <s v="Diabetes"/>
    <x v="7"/>
    <d v="2025-01-01T00:00:00"/>
    <d v="2025-01-02T00:00:00"/>
    <s v="January"/>
    <n v="1"/>
    <n v="6285"/>
  </r>
  <r>
    <x v="181"/>
    <s v="Imran Kapoor"/>
    <n v="42"/>
    <s v="Male"/>
    <s v="Asthma"/>
    <x v="4"/>
    <d v="2025-08-18T00:00:00"/>
    <d v="2025-08-20T00:00:00"/>
    <s v="August"/>
    <n v="2"/>
    <n v="21100"/>
  </r>
  <r>
    <x v="182"/>
    <s v="Arjun Khan"/>
    <n v="82"/>
    <s v="Male"/>
    <s v="Fever"/>
    <x v="0"/>
    <d v="2025-01-25T00:00:00"/>
    <d v="2025-02-05T00:00:00"/>
    <s v="January"/>
    <n v="11"/>
    <n v="98329"/>
  </r>
  <r>
    <x v="183"/>
    <s v="Anita Gupta"/>
    <n v="90"/>
    <s v="Male"/>
    <s v="Covid-19"/>
    <x v="3"/>
    <d v="2025-08-01T00:00:00"/>
    <d v="2025-08-07T00:00:00"/>
    <s v="August"/>
    <n v="6"/>
    <n v="29844"/>
  </r>
  <r>
    <x v="184"/>
    <s v="Aman Rather"/>
    <n v="77"/>
    <s v="Male"/>
    <s v="Asthma"/>
    <x v="4"/>
    <d v="2025-08-11T00:00:00"/>
    <d v="2025-08-26T00:00:00"/>
    <s v="August"/>
    <n v="15"/>
    <n v="68805"/>
  </r>
  <r>
    <x v="185"/>
    <s v="Mehak Gupta"/>
    <n v="74"/>
    <s v="Male"/>
    <s v="Covid-19"/>
    <x v="5"/>
    <d v="2025-04-24T00:00:00"/>
    <d v="2025-05-07T00:00:00"/>
    <s v="April"/>
    <n v="13"/>
    <n v="54574"/>
  </r>
  <r>
    <x v="186"/>
    <s v="Aman Kumar"/>
    <n v="53"/>
    <s v="Male"/>
    <s v="Dengue"/>
    <x v="2"/>
    <d v="2025-02-03T00:00:00"/>
    <d v="2025-02-04T00:00:00"/>
    <s v="February"/>
    <n v="1"/>
    <n v="4553"/>
  </r>
  <r>
    <x v="187"/>
    <s v="Priya Malik"/>
    <n v="50"/>
    <s v="Male"/>
    <s v="Hypertension"/>
    <x v="5"/>
    <d v="2025-02-26T00:00:00"/>
    <d v="2025-03-06T00:00:00"/>
    <s v="February"/>
    <n v="8"/>
    <n v="90088"/>
  </r>
  <r>
    <x v="188"/>
    <s v="Priya Verma"/>
    <n v="59"/>
    <s v="Female"/>
    <s v="Asthma"/>
    <x v="0"/>
    <d v="2025-05-08T00:00:00"/>
    <d v="2025-05-14T00:00:00"/>
    <s v="May"/>
    <n v="6"/>
    <n v="62226"/>
  </r>
  <r>
    <x v="189"/>
    <s v="Vikas Malik"/>
    <n v="78"/>
    <s v="Female"/>
    <s v="Covid-19"/>
    <x v="1"/>
    <d v="2025-12-20T00:00:00"/>
    <d v="2025-12-30T00:00:00"/>
    <s v="December"/>
    <n v="10"/>
    <n v="98910"/>
  </r>
  <r>
    <x v="190"/>
    <s v="Rohit Malik"/>
    <n v="8"/>
    <s v="Male"/>
    <s v="Pneumonia"/>
    <x v="5"/>
    <d v="2025-05-10T00:00:00"/>
    <d v="2025-05-12T00:00:00"/>
    <s v="May"/>
    <n v="2"/>
    <n v="17318"/>
  </r>
  <r>
    <x v="191"/>
    <s v="Rahul Malik"/>
    <n v="81"/>
    <s v="Female"/>
    <s v="Heart Disease"/>
    <x v="6"/>
    <d v="2025-11-24T00:00:00"/>
    <d v="2025-12-08T00:00:00"/>
    <s v="November"/>
    <n v="14"/>
    <n v="137214"/>
  </r>
  <r>
    <x v="192"/>
    <s v="Zara Kumar"/>
    <n v="42"/>
    <s v="Male"/>
    <s v="Migraine"/>
    <x v="7"/>
    <d v="2025-05-06T00:00:00"/>
    <d v="2025-05-10T00:00:00"/>
    <s v="May"/>
    <n v="4"/>
    <n v="27892"/>
  </r>
  <r>
    <x v="193"/>
    <s v="Mehak Gupta"/>
    <n v="3"/>
    <s v="Male"/>
    <s v="Migraine"/>
    <x v="1"/>
    <d v="2025-07-17T00:00:00"/>
    <d v="2025-07-26T00:00:00"/>
    <s v="July"/>
    <n v="9"/>
    <n v="105759"/>
  </r>
  <r>
    <x v="194"/>
    <s v="Rohit Malik"/>
    <n v="66"/>
    <s v="Female"/>
    <s v="Dengue"/>
    <x v="0"/>
    <d v="2025-08-27T00:00:00"/>
    <d v="2025-08-29T00:00:00"/>
    <s v="August"/>
    <n v="2"/>
    <n v="14852"/>
  </r>
  <r>
    <x v="195"/>
    <s v="Adil Sharma"/>
    <n v="50"/>
    <s v="Female"/>
    <s v="Fever"/>
    <x v="4"/>
    <d v="2025-01-03T00:00:00"/>
    <d v="2025-01-04T00:00:00"/>
    <s v="January"/>
    <n v="1"/>
    <n v="8781"/>
  </r>
  <r>
    <x v="196"/>
    <s v="Anita Khan"/>
    <n v="43"/>
    <s v="Female"/>
    <s v="Heart Disease"/>
    <x v="5"/>
    <d v="2025-07-11T00:00:00"/>
    <d v="2025-07-14T00:00:00"/>
    <s v="July"/>
    <n v="3"/>
    <n v="25155"/>
  </r>
  <r>
    <x v="197"/>
    <s v="Vikas Verma"/>
    <n v="61"/>
    <s v="Male"/>
    <s v="Heart Disease"/>
    <x v="1"/>
    <d v="2025-09-01T00:00:00"/>
    <d v="2025-09-02T00:00:00"/>
    <s v="September"/>
    <n v="1"/>
    <n v="4394"/>
  </r>
  <r>
    <x v="198"/>
    <s v="Zara Ali"/>
    <n v="17"/>
    <s v="Female"/>
    <s v="Pneumonia"/>
    <x v="2"/>
    <d v="2025-02-17T00:00:00"/>
    <d v="2025-03-03T00:00:00"/>
    <s v="February"/>
    <n v="14"/>
    <n v="88060"/>
  </r>
  <r>
    <x v="199"/>
    <s v="Priya Malik"/>
    <n v="47"/>
    <s v="Male"/>
    <s v="Heart Disease"/>
    <x v="5"/>
    <d v="2025-03-02T00:00:00"/>
    <d v="2025-03-08T00:00:00"/>
    <s v="March"/>
    <n v="6"/>
    <n v="64974"/>
  </r>
  <r>
    <x v="200"/>
    <s v="Mehak Gupta"/>
    <n v="65"/>
    <s v="Female"/>
    <s v="Migraine"/>
    <x v="0"/>
    <d v="2025-04-05T00:00:00"/>
    <d v="2025-04-08T00:00:00"/>
    <s v="April"/>
    <n v="3"/>
    <n v="31710"/>
  </r>
  <r>
    <x v="201"/>
    <s v="Mehak Sharma"/>
    <n v="6"/>
    <s v="Female"/>
    <s v="Migraine"/>
    <x v="6"/>
    <d v="2025-09-06T00:00:00"/>
    <d v="2025-09-08T00:00:00"/>
    <s v="September"/>
    <n v="2"/>
    <n v="15488"/>
  </r>
  <r>
    <x v="202"/>
    <s v="Imran Malik"/>
    <n v="61"/>
    <s v="Female"/>
    <s v="Heart Disease"/>
    <x v="1"/>
    <d v="2025-08-03T00:00:00"/>
    <d v="2025-08-10T00:00:00"/>
    <s v="August"/>
    <n v="7"/>
    <n v="45703"/>
  </r>
  <r>
    <x v="203"/>
    <s v="Imran Rather"/>
    <n v="2"/>
    <s v="Female"/>
    <s v="Kidney Stone"/>
    <x v="1"/>
    <d v="2025-09-04T00:00:00"/>
    <d v="2025-09-16T00:00:00"/>
    <s v="September"/>
    <n v="12"/>
    <n v="70200"/>
  </r>
  <r>
    <x v="204"/>
    <s v="Zara Khan"/>
    <n v="46"/>
    <s v="Male"/>
    <s v="Fever"/>
    <x v="7"/>
    <d v="2025-10-08T00:00:00"/>
    <d v="2025-10-21T00:00:00"/>
    <s v="October"/>
    <n v="13"/>
    <n v="78728"/>
  </r>
  <r>
    <x v="205"/>
    <s v="Arjun Gupta"/>
    <n v="1"/>
    <s v="Male"/>
    <s v="Fever"/>
    <x v="2"/>
    <d v="2025-10-26T00:00:00"/>
    <d v="2025-11-08T00:00:00"/>
    <s v="October"/>
    <n v="13"/>
    <n v="153309"/>
  </r>
  <r>
    <x v="206"/>
    <s v="Aman Sharma"/>
    <n v="90"/>
    <s v="Female"/>
    <s v="Covid-19"/>
    <x v="1"/>
    <d v="2025-12-30T00:00:00"/>
    <d v="2026-01-09T00:00:00"/>
    <s v="December"/>
    <n v="10"/>
    <n v="48780"/>
  </r>
  <r>
    <x v="207"/>
    <s v="Arjun Gupta"/>
    <n v="32"/>
    <s v="Female"/>
    <s v="Diabetes"/>
    <x v="4"/>
    <d v="2025-05-02T00:00:00"/>
    <d v="2025-05-05T00:00:00"/>
    <s v="May"/>
    <n v="3"/>
    <n v="32331"/>
  </r>
  <r>
    <x v="208"/>
    <s v="Kiran Verma"/>
    <n v="15"/>
    <s v="Male"/>
    <s v="Migraine"/>
    <x v="7"/>
    <d v="2025-08-18T00:00:00"/>
    <d v="2025-08-19T00:00:00"/>
    <s v="August"/>
    <n v="1"/>
    <n v="4411"/>
  </r>
  <r>
    <x v="209"/>
    <s v="Vikas Singh"/>
    <n v="85"/>
    <s v="Male"/>
    <s v="Kidney Stone"/>
    <x v="5"/>
    <d v="2025-08-09T00:00:00"/>
    <d v="2025-08-16T00:00:00"/>
    <s v="August"/>
    <n v="7"/>
    <n v="71785"/>
  </r>
  <r>
    <x v="210"/>
    <s v="Adil Kumar"/>
    <n v="58"/>
    <s v="Female"/>
    <s v="Covid-19"/>
    <x v="1"/>
    <d v="2025-08-19T00:00:00"/>
    <d v="2025-08-30T00:00:00"/>
    <s v="August"/>
    <n v="11"/>
    <n v="47817"/>
  </r>
  <r>
    <x v="211"/>
    <s v="Mehak Malik"/>
    <n v="40"/>
    <s v="Male"/>
    <s v="Dengue"/>
    <x v="0"/>
    <d v="2025-09-15T00:00:00"/>
    <d v="2025-09-21T00:00:00"/>
    <s v="September"/>
    <n v="6"/>
    <n v="33822"/>
  </r>
  <r>
    <x v="212"/>
    <s v="Kiran Khan"/>
    <n v="86"/>
    <s v="Male"/>
    <s v="Covid-19"/>
    <x v="2"/>
    <d v="2025-09-24T00:00:00"/>
    <d v="2025-10-06T00:00:00"/>
    <s v="September"/>
    <n v="12"/>
    <n v="63108"/>
  </r>
  <r>
    <x v="213"/>
    <s v="Priya Khan"/>
    <n v="56"/>
    <s v="Female"/>
    <s v="Diabetes"/>
    <x v="2"/>
    <d v="2025-11-13T00:00:00"/>
    <d v="2025-11-27T00:00:00"/>
    <s v="November"/>
    <n v="14"/>
    <n v="151760"/>
  </r>
  <r>
    <x v="214"/>
    <s v="Imran Ali"/>
    <n v="34"/>
    <s v="Male"/>
    <s v="Dengue"/>
    <x v="5"/>
    <d v="2025-06-11T00:00:00"/>
    <d v="2025-06-26T00:00:00"/>
    <s v="June"/>
    <n v="15"/>
    <n v="93975"/>
  </r>
  <r>
    <x v="215"/>
    <s v="Vikas Sharma"/>
    <n v="10"/>
    <s v="Male"/>
    <s v="Heart Disease"/>
    <x v="6"/>
    <d v="2025-04-18T00:00:00"/>
    <d v="2025-04-21T00:00:00"/>
    <s v="April"/>
    <n v="3"/>
    <n v="13113"/>
  </r>
  <r>
    <x v="216"/>
    <s v="Rahul Kumar"/>
    <n v="45"/>
    <s v="Female"/>
    <s v="Heart Disease"/>
    <x v="4"/>
    <d v="2025-11-28T00:00:00"/>
    <d v="2025-12-13T00:00:00"/>
    <s v="November"/>
    <n v="15"/>
    <n v="115785"/>
  </r>
  <r>
    <x v="217"/>
    <s v="Anita Malik"/>
    <n v="49"/>
    <s v="Male"/>
    <s v="Dengue"/>
    <x v="2"/>
    <d v="2025-03-22T00:00:00"/>
    <d v="2025-03-23T00:00:00"/>
    <s v="March"/>
    <n v="1"/>
    <n v="11189"/>
  </r>
  <r>
    <x v="218"/>
    <s v="Zara Kumar"/>
    <n v="78"/>
    <s v="Male"/>
    <s v="Migraine"/>
    <x v="7"/>
    <d v="2025-09-21T00:00:00"/>
    <d v="2025-09-26T00:00:00"/>
    <s v="September"/>
    <n v="5"/>
    <n v="26350"/>
  </r>
  <r>
    <x v="219"/>
    <s v="Priya Malik"/>
    <n v="7"/>
    <s v="Male"/>
    <s v="Pneumonia"/>
    <x v="7"/>
    <d v="2025-11-02T00:00:00"/>
    <d v="2025-11-03T00:00:00"/>
    <s v="November"/>
    <n v="1"/>
    <n v="9122"/>
  </r>
  <r>
    <x v="220"/>
    <s v="Anita Verma"/>
    <n v="6"/>
    <s v="Female"/>
    <s v="Hypertension"/>
    <x v="3"/>
    <d v="2025-11-27T00:00:00"/>
    <d v="2025-12-10T00:00:00"/>
    <s v="November"/>
    <n v="13"/>
    <n v="142142"/>
  </r>
  <r>
    <x v="221"/>
    <s v="Priya Rather"/>
    <n v="74"/>
    <s v="Male"/>
    <s v="Pneumonia"/>
    <x v="3"/>
    <d v="2025-04-13T00:00:00"/>
    <d v="2025-04-17T00:00:00"/>
    <s v="April"/>
    <n v="4"/>
    <n v="27460"/>
  </r>
  <r>
    <x v="222"/>
    <s v="Sara Gupta"/>
    <n v="64"/>
    <s v="Female"/>
    <s v="Hypertension"/>
    <x v="0"/>
    <d v="2025-01-04T00:00:00"/>
    <d v="2025-01-11T00:00:00"/>
    <s v="January"/>
    <n v="7"/>
    <n v="82474"/>
  </r>
  <r>
    <x v="223"/>
    <s v="Rohit Ali"/>
    <n v="64"/>
    <s v="Female"/>
    <s v="Covid-19"/>
    <x v="4"/>
    <d v="2025-11-12T00:00:00"/>
    <d v="2025-11-26T00:00:00"/>
    <s v="November"/>
    <n v="14"/>
    <n v="165620"/>
  </r>
  <r>
    <x v="224"/>
    <s v="Priya Singh"/>
    <n v="22"/>
    <s v="Female"/>
    <s v="Pneumonia"/>
    <x v="6"/>
    <d v="2025-07-23T00:00:00"/>
    <d v="2025-08-06T00:00:00"/>
    <s v="July"/>
    <n v="14"/>
    <n v="83230"/>
  </r>
  <r>
    <x v="225"/>
    <s v="Rahul Singh"/>
    <n v="81"/>
    <s v="Female"/>
    <s v="Covid-19"/>
    <x v="1"/>
    <d v="2025-04-11T00:00:00"/>
    <d v="2025-04-21T00:00:00"/>
    <s v="April"/>
    <n v="10"/>
    <n v="103650"/>
  </r>
  <r>
    <x v="226"/>
    <s v="Adil Kapoor"/>
    <n v="81"/>
    <s v="Female"/>
    <s v="Dengue"/>
    <x v="5"/>
    <d v="2025-10-09T00:00:00"/>
    <d v="2025-10-16T00:00:00"/>
    <s v="October"/>
    <n v="7"/>
    <n v="45920"/>
  </r>
  <r>
    <x v="227"/>
    <s v="Vikas Sharma"/>
    <n v="14"/>
    <s v="Male"/>
    <s v="Covid-19"/>
    <x v="1"/>
    <d v="2025-02-28T00:00:00"/>
    <d v="2025-03-02T00:00:00"/>
    <s v="February"/>
    <n v="2"/>
    <n v="21776"/>
  </r>
  <r>
    <x v="228"/>
    <s v="Rohit Rather"/>
    <n v="38"/>
    <s v="Female"/>
    <s v="Hypertension"/>
    <x v="1"/>
    <d v="2025-02-12T00:00:00"/>
    <d v="2025-02-23T00:00:00"/>
    <s v="February"/>
    <n v="11"/>
    <n v="96107"/>
  </r>
  <r>
    <x v="229"/>
    <s v="Anita Singh"/>
    <n v="61"/>
    <s v="Female"/>
    <s v="Migraine"/>
    <x v="1"/>
    <d v="2025-09-25T00:00:00"/>
    <d v="2025-10-03T00:00:00"/>
    <s v="September"/>
    <n v="8"/>
    <n v="35224"/>
  </r>
  <r>
    <x v="230"/>
    <s v="Sara Kapoor"/>
    <n v="64"/>
    <s v="Male"/>
    <s v="Migraine"/>
    <x v="5"/>
    <d v="2025-05-29T00:00:00"/>
    <d v="2025-06-04T00:00:00"/>
    <s v="May"/>
    <n v="6"/>
    <n v="69918"/>
  </r>
  <r>
    <x v="231"/>
    <s v="Arjun Sharma"/>
    <n v="74"/>
    <s v="Female"/>
    <s v="Diabetes"/>
    <x v="0"/>
    <d v="2025-07-10T00:00:00"/>
    <d v="2025-07-24T00:00:00"/>
    <s v="July"/>
    <n v="14"/>
    <n v="56126"/>
  </r>
  <r>
    <x v="232"/>
    <s v="Aman Verma"/>
    <n v="90"/>
    <s v="Female"/>
    <s v="Covid-19"/>
    <x v="7"/>
    <d v="2025-11-16T00:00:00"/>
    <d v="2025-11-23T00:00:00"/>
    <s v="November"/>
    <n v="7"/>
    <n v="49672"/>
  </r>
  <r>
    <x v="233"/>
    <s v="Aman Malik"/>
    <n v="30"/>
    <s v="Female"/>
    <s v="Covid-19"/>
    <x v="7"/>
    <d v="2025-05-03T00:00:00"/>
    <d v="2025-05-09T00:00:00"/>
    <s v="May"/>
    <n v="6"/>
    <n v="33180"/>
  </r>
  <r>
    <x v="234"/>
    <s v="Aman Gupta"/>
    <n v="82"/>
    <s v="Male"/>
    <s v="Kidney Stone"/>
    <x v="0"/>
    <d v="2025-02-23T00:00:00"/>
    <d v="2025-03-04T00:00:00"/>
    <s v="February"/>
    <n v="9"/>
    <n v="74727"/>
  </r>
  <r>
    <x v="235"/>
    <s v="Arjun Khan"/>
    <n v="46"/>
    <s v="Male"/>
    <s v="Pneumonia"/>
    <x v="3"/>
    <d v="2025-06-24T00:00:00"/>
    <d v="2025-07-07T00:00:00"/>
    <s v="June"/>
    <n v="13"/>
    <n v="101686"/>
  </r>
  <r>
    <x v="236"/>
    <s v="Arjun Ali"/>
    <n v="66"/>
    <s v="Male"/>
    <s v="Pneumonia"/>
    <x v="1"/>
    <d v="2025-08-28T00:00:00"/>
    <d v="2025-09-01T00:00:00"/>
    <s v="August"/>
    <n v="4"/>
    <n v="21512"/>
  </r>
  <r>
    <x v="237"/>
    <s v="Rahul Singh"/>
    <n v="78"/>
    <s v="Male"/>
    <s v="Migraine"/>
    <x v="1"/>
    <d v="2025-04-30T00:00:00"/>
    <d v="2025-05-04T00:00:00"/>
    <s v="April"/>
    <n v="4"/>
    <n v="27220"/>
  </r>
  <r>
    <x v="238"/>
    <s v="Mehak Rather"/>
    <n v="28"/>
    <s v="Male"/>
    <s v="Migraine"/>
    <x v="4"/>
    <d v="2025-02-08T00:00:00"/>
    <d v="2025-02-14T00:00:00"/>
    <s v="February"/>
    <n v="6"/>
    <n v="31932"/>
  </r>
  <r>
    <x v="239"/>
    <s v="Sara Ali"/>
    <n v="89"/>
    <s v="Female"/>
    <s v="Diabetes"/>
    <x v="1"/>
    <d v="2025-04-20T00:00:00"/>
    <d v="2025-05-03T00:00:00"/>
    <s v="April"/>
    <n v="13"/>
    <n v="137436"/>
  </r>
  <r>
    <x v="240"/>
    <s v="Priya Malik"/>
    <n v="6"/>
    <s v="Male"/>
    <s v="Hypertension"/>
    <x v="6"/>
    <d v="2025-06-17T00:00:00"/>
    <d v="2025-07-02T00:00:00"/>
    <s v="June"/>
    <n v="15"/>
    <n v="165075"/>
  </r>
  <r>
    <x v="241"/>
    <s v="Aman Verma"/>
    <n v="14"/>
    <s v="Female"/>
    <s v="Heart Disease"/>
    <x v="5"/>
    <d v="2025-10-18T00:00:00"/>
    <d v="2025-10-21T00:00:00"/>
    <s v="October"/>
    <n v="3"/>
    <n v="34914"/>
  </r>
  <r>
    <x v="242"/>
    <s v="Imran Sharma"/>
    <n v="24"/>
    <s v="Male"/>
    <s v="Pneumonia"/>
    <x v="3"/>
    <d v="2025-07-02T00:00:00"/>
    <d v="2025-07-12T00:00:00"/>
    <s v="July"/>
    <n v="10"/>
    <n v="101050"/>
  </r>
  <r>
    <x v="243"/>
    <s v="Imran Sharma"/>
    <n v="21"/>
    <s v="Male"/>
    <s v="Fever"/>
    <x v="1"/>
    <d v="2025-03-13T00:00:00"/>
    <d v="2025-03-24T00:00:00"/>
    <s v="March"/>
    <n v="11"/>
    <n v="107470"/>
  </r>
  <r>
    <x v="244"/>
    <s v="Adil Rather"/>
    <n v="45"/>
    <s v="Male"/>
    <s v="Diabetes"/>
    <x v="2"/>
    <d v="2025-01-23T00:00:00"/>
    <d v="2025-01-29T00:00:00"/>
    <s v="January"/>
    <n v="6"/>
    <n v="69390"/>
  </r>
  <r>
    <x v="245"/>
    <s v="Rohit Khan"/>
    <n v="61"/>
    <s v="Female"/>
    <s v="Pneumonia"/>
    <x v="7"/>
    <d v="2025-06-08T00:00:00"/>
    <d v="2025-06-14T00:00:00"/>
    <s v="June"/>
    <n v="6"/>
    <n v="59136"/>
  </r>
  <r>
    <x v="246"/>
    <s v="Imran Sharma"/>
    <n v="60"/>
    <s v="Female"/>
    <s v="Migraine"/>
    <x v="1"/>
    <d v="2025-03-13T00:00:00"/>
    <d v="2025-03-26T00:00:00"/>
    <s v="March"/>
    <n v="13"/>
    <n v="109642"/>
  </r>
  <r>
    <x v="247"/>
    <s v="Rohit Sharma"/>
    <n v="39"/>
    <s v="Female"/>
    <s v="Kidney Stone"/>
    <x v="5"/>
    <d v="2025-08-17T00:00:00"/>
    <d v="2025-08-29T00:00:00"/>
    <s v="August"/>
    <n v="12"/>
    <n v="132720"/>
  </r>
  <r>
    <x v="248"/>
    <s v="Adil Rather"/>
    <n v="57"/>
    <s v="Male"/>
    <s v="Diabetes"/>
    <x v="1"/>
    <d v="2025-04-14T00:00:00"/>
    <d v="2025-04-24T00:00:00"/>
    <s v="April"/>
    <n v="10"/>
    <n v="97240"/>
  </r>
  <r>
    <x v="249"/>
    <s v="Neha Kapoor"/>
    <n v="69"/>
    <s v="Male"/>
    <s v="Asthma"/>
    <x v="3"/>
    <d v="2025-06-26T00:00:00"/>
    <d v="2025-06-29T00:00:00"/>
    <s v="June"/>
    <n v="3"/>
    <n v="27390"/>
  </r>
  <r>
    <x v="250"/>
    <s v="Sara Sharma"/>
    <n v="44"/>
    <s v="Male"/>
    <s v="Hypertension"/>
    <x v="2"/>
    <d v="2025-09-01T00:00:00"/>
    <d v="2025-09-06T00:00:00"/>
    <s v="September"/>
    <n v="5"/>
    <n v="52825"/>
  </r>
  <r>
    <x v="251"/>
    <s v="Sara Gupta"/>
    <n v="86"/>
    <s v="Female"/>
    <s v="Heart Disease"/>
    <x v="0"/>
    <d v="2025-08-02T00:00:00"/>
    <d v="2025-08-16T00:00:00"/>
    <s v="August"/>
    <n v="14"/>
    <n v="57022"/>
  </r>
  <r>
    <x v="252"/>
    <s v="Priya Malik"/>
    <n v="18"/>
    <s v="Female"/>
    <s v="Covid-19"/>
    <x v="3"/>
    <d v="2025-09-19T00:00:00"/>
    <d v="2025-09-24T00:00:00"/>
    <s v="September"/>
    <n v="5"/>
    <n v="38235"/>
  </r>
  <r>
    <x v="253"/>
    <s v="Sara Khan"/>
    <n v="8"/>
    <s v="Female"/>
    <s v="Heart Disease"/>
    <x v="1"/>
    <d v="2025-07-30T00:00:00"/>
    <d v="2025-08-08T00:00:00"/>
    <s v="July"/>
    <n v="9"/>
    <n v="81549"/>
  </r>
  <r>
    <x v="254"/>
    <s v="Arjun Kapoor"/>
    <n v="11"/>
    <s v="Female"/>
    <s v="Pneumonia"/>
    <x v="6"/>
    <d v="2025-05-17T00:00:00"/>
    <d v="2025-05-31T00:00:00"/>
    <s v="May"/>
    <n v="14"/>
    <n v="161070"/>
  </r>
  <r>
    <x v="255"/>
    <s v="Arjun Singh"/>
    <n v="61"/>
    <s v="Female"/>
    <s v="Asthma"/>
    <x v="4"/>
    <d v="2025-12-04T00:00:00"/>
    <d v="2025-12-10T00:00:00"/>
    <s v="December"/>
    <n v="6"/>
    <n v="62268"/>
  </r>
  <r>
    <x v="256"/>
    <s v="Kiran Kumar"/>
    <n v="42"/>
    <s v="Female"/>
    <s v="Pneumonia"/>
    <x v="4"/>
    <d v="2025-03-12T00:00:00"/>
    <d v="2025-03-15T00:00:00"/>
    <s v="March"/>
    <n v="3"/>
    <n v="35373"/>
  </r>
  <r>
    <x v="257"/>
    <s v="Arjun Gupta"/>
    <n v="48"/>
    <s v="Female"/>
    <s v="Hypertension"/>
    <x v="3"/>
    <d v="2025-02-11T00:00:00"/>
    <d v="2025-02-24T00:00:00"/>
    <s v="February"/>
    <n v="13"/>
    <n v="151359"/>
  </r>
  <r>
    <x v="258"/>
    <s v="Rohit Singh"/>
    <n v="73"/>
    <s v="Female"/>
    <s v="Covid-19"/>
    <x v="4"/>
    <d v="2025-11-27T00:00:00"/>
    <d v="2025-12-11T00:00:00"/>
    <s v="November"/>
    <n v="14"/>
    <n v="66234"/>
  </r>
  <r>
    <x v="259"/>
    <s v="Anita Kumar"/>
    <n v="67"/>
    <s v="Male"/>
    <s v="Migraine"/>
    <x v="5"/>
    <d v="2025-04-18T00:00:00"/>
    <d v="2025-04-19T00:00:00"/>
    <s v="April"/>
    <n v="1"/>
    <n v="10410"/>
  </r>
  <r>
    <x v="260"/>
    <s v="Adil Kapoor"/>
    <n v="28"/>
    <s v="Female"/>
    <s v="Fever"/>
    <x v="2"/>
    <d v="2025-01-28T00:00:00"/>
    <d v="2025-01-29T00:00:00"/>
    <s v="January"/>
    <n v="1"/>
    <n v="7520"/>
  </r>
  <r>
    <x v="261"/>
    <s v="Arjun Khan"/>
    <n v="9"/>
    <s v="Female"/>
    <s v="Pneumonia"/>
    <x v="7"/>
    <d v="2025-08-31T00:00:00"/>
    <d v="2025-09-14T00:00:00"/>
    <s v="August"/>
    <n v="14"/>
    <n v="149870"/>
  </r>
  <r>
    <x v="262"/>
    <s v="Mehak Gupta"/>
    <n v="64"/>
    <s v="Female"/>
    <s v="Heart Disease"/>
    <x v="7"/>
    <d v="2025-06-21T00:00:00"/>
    <d v="2025-06-27T00:00:00"/>
    <s v="June"/>
    <n v="6"/>
    <n v="29010"/>
  </r>
  <r>
    <x v="263"/>
    <s v="Aman Rather"/>
    <n v="66"/>
    <s v="Female"/>
    <s v="Asthma"/>
    <x v="6"/>
    <d v="2025-03-27T00:00:00"/>
    <d v="2025-03-30T00:00:00"/>
    <s v="March"/>
    <n v="3"/>
    <n v="34578"/>
  </r>
  <r>
    <x v="264"/>
    <s v="Rahul Rather"/>
    <n v="55"/>
    <s v="Female"/>
    <s v="Kidney Stone"/>
    <x v="7"/>
    <d v="2025-12-01T00:00:00"/>
    <d v="2025-12-13T00:00:00"/>
    <s v="December"/>
    <n v="12"/>
    <n v="91668"/>
  </r>
  <r>
    <x v="265"/>
    <s v="Rahul Malik"/>
    <n v="64"/>
    <s v="Male"/>
    <s v="Diabetes"/>
    <x v="7"/>
    <d v="2025-09-04T00:00:00"/>
    <d v="2025-09-17T00:00:00"/>
    <s v="September"/>
    <n v="13"/>
    <n v="153036"/>
  </r>
  <r>
    <x v="266"/>
    <s v="Rahul Sharma"/>
    <n v="2"/>
    <s v="Female"/>
    <s v="Covid-19"/>
    <x v="2"/>
    <d v="2025-04-04T00:00:00"/>
    <d v="2025-04-13T00:00:00"/>
    <s v="April"/>
    <n v="9"/>
    <n v="86148"/>
  </r>
  <r>
    <x v="267"/>
    <s v="Sara Verma"/>
    <n v="18"/>
    <s v="Female"/>
    <s v="Asthma"/>
    <x v="0"/>
    <d v="2025-04-04T00:00:00"/>
    <d v="2025-04-05T00:00:00"/>
    <s v="April"/>
    <n v="1"/>
    <n v="5434"/>
  </r>
  <r>
    <x v="268"/>
    <s v="Zara Sharma"/>
    <n v="84"/>
    <s v="Female"/>
    <s v="Dengue"/>
    <x v="2"/>
    <d v="2025-04-02T00:00:00"/>
    <d v="2025-04-10T00:00:00"/>
    <s v="April"/>
    <n v="8"/>
    <n v="74816"/>
  </r>
  <r>
    <x v="269"/>
    <s v="Sara Sharma"/>
    <n v="21"/>
    <s v="Male"/>
    <s v="Covid-19"/>
    <x v="3"/>
    <d v="2025-12-08T00:00:00"/>
    <d v="2025-12-18T00:00:00"/>
    <s v="December"/>
    <n v="10"/>
    <n v="111150"/>
  </r>
  <r>
    <x v="270"/>
    <s v="Imran Kumar"/>
    <n v="21"/>
    <s v="Female"/>
    <s v="Covid-19"/>
    <x v="6"/>
    <d v="2025-07-28T00:00:00"/>
    <d v="2025-07-31T00:00:00"/>
    <s v="July"/>
    <n v="3"/>
    <n v="21246"/>
  </r>
  <r>
    <x v="271"/>
    <s v="Arjun Khan"/>
    <n v="37"/>
    <s v="Female"/>
    <s v="Fever"/>
    <x v="6"/>
    <d v="2025-10-15T00:00:00"/>
    <d v="2025-10-23T00:00:00"/>
    <s v="October"/>
    <n v="8"/>
    <n v="61864"/>
  </r>
  <r>
    <x v="272"/>
    <s v="Neha Malik"/>
    <n v="85"/>
    <s v="Female"/>
    <s v="Fever"/>
    <x v="5"/>
    <d v="2025-08-11T00:00:00"/>
    <d v="2025-08-24T00:00:00"/>
    <s v="August"/>
    <n v="13"/>
    <n v="78416"/>
  </r>
  <r>
    <x v="273"/>
    <s v="Zara Kapoor"/>
    <n v="75"/>
    <s v="Male"/>
    <s v="Hypertension"/>
    <x v="5"/>
    <d v="2025-03-26T00:00:00"/>
    <d v="2025-03-30T00:00:00"/>
    <s v="March"/>
    <n v="4"/>
    <n v="22480"/>
  </r>
  <r>
    <x v="274"/>
    <s v="Vikas Kumar"/>
    <n v="90"/>
    <s v="Male"/>
    <s v="Pneumonia"/>
    <x v="4"/>
    <d v="2025-09-25T00:00:00"/>
    <d v="2025-09-27T00:00:00"/>
    <s v="September"/>
    <n v="2"/>
    <n v="22164"/>
  </r>
  <r>
    <x v="275"/>
    <s v="Zara Verma"/>
    <n v="43"/>
    <s v="Female"/>
    <s v="Covid-19"/>
    <x v="0"/>
    <d v="2025-01-27T00:00:00"/>
    <d v="2025-01-29T00:00:00"/>
    <s v="January"/>
    <n v="2"/>
    <n v="16568"/>
  </r>
  <r>
    <x v="276"/>
    <s v="Anita Ali"/>
    <n v="19"/>
    <s v="Female"/>
    <s v="Covid-19"/>
    <x v="1"/>
    <d v="2025-03-07T00:00:00"/>
    <d v="2025-03-18T00:00:00"/>
    <s v="March"/>
    <n v="11"/>
    <n v="100496"/>
  </r>
  <r>
    <x v="277"/>
    <s v="Mehak Sharma"/>
    <n v="24"/>
    <s v="Female"/>
    <s v="Migraine"/>
    <x v="6"/>
    <d v="2025-08-15T00:00:00"/>
    <d v="2025-08-25T00:00:00"/>
    <s v="August"/>
    <n v="10"/>
    <n v="63880"/>
  </r>
  <r>
    <x v="278"/>
    <s v="Vikas Gupta"/>
    <n v="20"/>
    <s v="Female"/>
    <s v="Migraine"/>
    <x v="5"/>
    <d v="2025-10-11T00:00:00"/>
    <d v="2025-10-26T00:00:00"/>
    <s v="October"/>
    <n v="15"/>
    <n v="68910"/>
  </r>
  <r>
    <x v="279"/>
    <s v="Vikas Verma"/>
    <n v="82"/>
    <s v="Female"/>
    <s v="Pneumonia"/>
    <x v="5"/>
    <d v="2025-10-18T00:00:00"/>
    <d v="2025-10-21T00:00:00"/>
    <s v="October"/>
    <n v="3"/>
    <n v="28596"/>
  </r>
  <r>
    <x v="280"/>
    <s v="Imran Sharma"/>
    <n v="82"/>
    <s v="Female"/>
    <s v="Pneumonia"/>
    <x v="4"/>
    <d v="2025-10-19T00:00:00"/>
    <d v="2025-10-23T00:00:00"/>
    <s v="October"/>
    <n v="4"/>
    <n v="19764"/>
  </r>
  <r>
    <x v="281"/>
    <s v="Priya Malik"/>
    <n v="17"/>
    <s v="Male"/>
    <s v="Migraine"/>
    <x v="0"/>
    <d v="2025-09-22T00:00:00"/>
    <d v="2025-09-24T00:00:00"/>
    <s v="September"/>
    <n v="2"/>
    <n v="11686"/>
  </r>
  <r>
    <x v="282"/>
    <s v="Vikas Singh"/>
    <n v="88"/>
    <s v="Female"/>
    <s v="Kidney Stone"/>
    <x v="1"/>
    <d v="2025-06-11T00:00:00"/>
    <d v="2025-06-18T00:00:00"/>
    <s v="June"/>
    <n v="7"/>
    <n v="60060"/>
  </r>
  <r>
    <x v="283"/>
    <s v="Zara Malik"/>
    <n v="7"/>
    <s v="Male"/>
    <s v="Migraine"/>
    <x v="1"/>
    <d v="2025-10-27T00:00:00"/>
    <d v="2025-11-03T00:00:00"/>
    <s v="October"/>
    <n v="7"/>
    <n v="43463"/>
  </r>
  <r>
    <x v="284"/>
    <s v="Rohit Ali"/>
    <n v="63"/>
    <s v="Male"/>
    <s v="Asthma"/>
    <x v="4"/>
    <d v="2025-04-25T00:00:00"/>
    <d v="2025-04-27T00:00:00"/>
    <s v="April"/>
    <n v="2"/>
    <n v="13926"/>
  </r>
  <r>
    <x v="285"/>
    <s v="Anita Ali"/>
    <n v="25"/>
    <s v="Female"/>
    <s v="Hypertension"/>
    <x v="1"/>
    <d v="2025-05-16T00:00:00"/>
    <d v="2025-05-18T00:00:00"/>
    <s v="May"/>
    <n v="2"/>
    <n v="18698"/>
  </r>
  <r>
    <x v="286"/>
    <s v="Zara Rather"/>
    <n v="26"/>
    <s v="Female"/>
    <s v="Diabetes"/>
    <x v="6"/>
    <d v="2025-02-02T00:00:00"/>
    <d v="2025-02-07T00:00:00"/>
    <s v="February"/>
    <n v="5"/>
    <n v="41265"/>
  </r>
  <r>
    <x v="287"/>
    <s v="Adil Ali"/>
    <n v="36"/>
    <s v="Female"/>
    <s v="Diabetes"/>
    <x v="3"/>
    <d v="2025-12-14T00:00:00"/>
    <d v="2025-12-16T00:00:00"/>
    <s v="December"/>
    <n v="2"/>
    <n v="21408"/>
  </r>
  <r>
    <x v="288"/>
    <s v="Rohit Kapoor"/>
    <n v="43"/>
    <s v="Female"/>
    <s v="Fever"/>
    <x v="0"/>
    <d v="2025-11-18T00:00:00"/>
    <d v="2025-12-03T00:00:00"/>
    <s v="November"/>
    <n v="15"/>
    <n v="131895"/>
  </r>
  <r>
    <x v="289"/>
    <s v="Imran Kumar"/>
    <n v="50"/>
    <s v="Female"/>
    <s v="Fever"/>
    <x v="6"/>
    <d v="2025-03-02T00:00:00"/>
    <d v="2025-03-09T00:00:00"/>
    <s v="March"/>
    <n v="7"/>
    <n v="52934"/>
  </r>
  <r>
    <x v="290"/>
    <s v="Mehak Kapoor"/>
    <n v="32"/>
    <s v="Male"/>
    <s v="Hypertension"/>
    <x v="6"/>
    <d v="2025-09-03T00:00:00"/>
    <d v="2025-09-08T00:00:00"/>
    <s v="September"/>
    <n v="5"/>
    <n v="43190"/>
  </r>
  <r>
    <x v="291"/>
    <s v="Pooja Verma"/>
    <n v="14"/>
    <s v="Female"/>
    <s v="Dengue"/>
    <x v="0"/>
    <d v="2025-03-08T00:00:00"/>
    <d v="2025-03-19T00:00:00"/>
    <s v="March"/>
    <n v="11"/>
    <n v="126005"/>
  </r>
  <r>
    <x v="292"/>
    <s v="Zara Kumar"/>
    <n v="81"/>
    <s v="Female"/>
    <s v="Migraine"/>
    <x v="4"/>
    <d v="2025-12-17T00:00:00"/>
    <d v="2025-12-29T00:00:00"/>
    <s v="December"/>
    <n v="12"/>
    <n v="61908"/>
  </r>
  <r>
    <x v="293"/>
    <s v="Priya Kapoor"/>
    <n v="29"/>
    <s v="Female"/>
    <s v="Diabetes"/>
    <x v="3"/>
    <d v="2025-02-15T00:00:00"/>
    <d v="2025-02-28T00:00:00"/>
    <s v="February"/>
    <n v="13"/>
    <n v="113867"/>
  </r>
  <r>
    <x v="294"/>
    <s v="Adil Rather"/>
    <n v="53"/>
    <s v="Female"/>
    <s v="Dengue"/>
    <x v="5"/>
    <d v="2025-07-30T00:00:00"/>
    <d v="2025-08-10T00:00:00"/>
    <s v="July"/>
    <n v="11"/>
    <n v="45375"/>
  </r>
  <r>
    <x v="295"/>
    <s v="Zara Singh"/>
    <n v="50"/>
    <s v="Female"/>
    <s v="Pneumonia"/>
    <x v="1"/>
    <d v="2025-05-07T00:00:00"/>
    <d v="2025-05-21T00:00:00"/>
    <s v="May"/>
    <n v="14"/>
    <n v="84420"/>
  </r>
  <r>
    <x v="296"/>
    <s v="Pooja Malik"/>
    <n v="80"/>
    <s v="Female"/>
    <s v="Heart Disease"/>
    <x v="7"/>
    <d v="2025-08-06T00:00:00"/>
    <d v="2025-08-11T00:00:00"/>
    <s v="August"/>
    <n v="5"/>
    <n v="53770"/>
  </r>
  <r>
    <x v="297"/>
    <s v="Pooja Singh"/>
    <n v="54"/>
    <s v="Female"/>
    <s v="Heart Disease"/>
    <x v="6"/>
    <d v="2025-06-08T00:00:00"/>
    <d v="2025-06-14T00:00:00"/>
    <s v="June"/>
    <n v="6"/>
    <n v="48774"/>
  </r>
  <r>
    <x v="298"/>
    <s v="Imran Sharma"/>
    <n v="76"/>
    <s v="Male"/>
    <s v="Fever"/>
    <x v="0"/>
    <d v="2025-11-06T00:00:00"/>
    <d v="2025-11-07T00:00:00"/>
    <s v="November"/>
    <n v="1"/>
    <n v="11309"/>
  </r>
  <r>
    <x v="299"/>
    <s v="Rohit Malik"/>
    <n v="37"/>
    <s v="Female"/>
    <s v="Fever"/>
    <x v="6"/>
    <d v="2025-09-14T00:00:00"/>
    <d v="2025-09-23T00:00:00"/>
    <s v="September"/>
    <n v="9"/>
    <n v="93888"/>
  </r>
  <r>
    <x v="300"/>
    <s v="Sara Malik"/>
    <n v="50"/>
    <s v="Male"/>
    <s v="Kidney Stone"/>
    <x v="1"/>
    <d v="2025-04-02T00:00:00"/>
    <d v="2025-04-07T00:00:00"/>
    <s v="April"/>
    <n v="5"/>
    <n v="26255"/>
  </r>
  <r>
    <x v="301"/>
    <s v="Kiran Singh"/>
    <n v="62"/>
    <s v="Male"/>
    <s v="Asthma"/>
    <x v="7"/>
    <d v="2025-05-01T00:00:00"/>
    <d v="2025-05-11T00:00:00"/>
    <s v="May"/>
    <n v="10"/>
    <n v="75890"/>
  </r>
  <r>
    <x v="302"/>
    <s v="Pooja Singh"/>
    <n v="42"/>
    <s v="Female"/>
    <s v="Asthma"/>
    <x v="6"/>
    <d v="2025-09-15T00:00:00"/>
    <d v="2025-09-28T00:00:00"/>
    <s v="September"/>
    <n v="13"/>
    <n v="75790"/>
  </r>
  <r>
    <x v="303"/>
    <s v="Arjun Verma"/>
    <n v="81"/>
    <s v="Female"/>
    <s v="Covid-19"/>
    <x v="7"/>
    <d v="2025-09-12T00:00:00"/>
    <d v="2025-09-20T00:00:00"/>
    <s v="September"/>
    <n v="8"/>
    <n v="86704"/>
  </r>
  <r>
    <x v="304"/>
    <s v="Zara Rather"/>
    <n v="67"/>
    <s v="Female"/>
    <s v="Covid-19"/>
    <x v="0"/>
    <d v="2025-01-04T00:00:00"/>
    <d v="2025-01-14T00:00:00"/>
    <s v="January"/>
    <n v="10"/>
    <n v="81200"/>
  </r>
  <r>
    <x v="305"/>
    <s v="Vikas Kapoor"/>
    <n v="71"/>
    <s v="Male"/>
    <s v="Heart Disease"/>
    <x v="3"/>
    <d v="2025-10-27T00:00:00"/>
    <d v="2025-11-08T00:00:00"/>
    <s v="October"/>
    <n v="12"/>
    <n v="74208"/>
  </r>
  <r>
    <x v="306"/>
    <s v="Anita Khan"/>
    <n v="83"/>
    <s v="Male"/>
    <s v="Diabetes"/>
    <x v="4"/>
    <d v="2025-04-27T00:00:00"/>
    <d v="2025-05-09T00:00:00"/>
    <s v="April"/>
    <n v="12"/>
    <n v="48912"/>
  </r>
  <r>
    <x v="307"/>
    <s v="Kiran Verma"/>
    <n v="65"/>
    <s v="Male"/>
    <s v="Pneumonia"/>
    <x v="1"/>
    <d v="2025-09-05T00:00:00"/>
    <d v="2025-09-07T00:00:00"/>
    <s v="September"/>
    <n v="2"/>
    <n v="13186"/>
  </r>
  <r>
    <x v="308"/>
    <s v="Aman Singh"/>
    <n v="71"/>
    <s v="Male"/>
    <s v="Migraine"/>
    <x v="2"/>
    <d v="2025-11-30T00:00:00"/>
    <d v="2025-12-13T00:00:00"/>
    <s v="November"/>
    <n v="13"/>
    <n v="61451"/>
  </r>
  <r>
    <x v="309"/>
    <s v="Kiran Rather"/>
    <n v="81"/>
    <s v="Male"/>
    <s v="Heart Disease"/>
    <x v="5"/>
    <d v="2025-03-15T00:00:00"/>
    <d v="2025-03-21T00:00:00"/>
    <s v="March"/>
    <n v="6"/>
    <n v="69762"/>
  </r>
  <r>
    <x v="310"/>
    <s v="Aman Verma"/>
    <n v="39"/>
    <s v="Female"/>
    <s v="Fever"/>
    <x v="1"/>
    <d v="2025-03-22T00:00:00"/>
    <d v="2025-04-02T00:00:00"/>
    <s v="March"/>
    <n v="11"/>
    <n v="71610"/>
  </r>
  <r>
    <x v="311"/>
    <s v="Sara Kumar"/>
    <n v="14"/>
    <s v="Male"/>
    <s v="Hypertension"/>
    <x v="5"/>
    <d v="2025-07-15T00:00:00"/>
    <d v="2025-07-24T00:00:00"/>
    <s v="July"/>
    <n v="9"/>
    <n v="49392"/>
  </r>
  <r>
    <x v="312"/>
    <s v="Rahul Kapoor"/>
    <n v="40"/>
    <s v="Male"/>
    <s v="Covid-19"/>
    <x v="1"/>
    <d v="2025-07-02T00:00:00"/>
    <d v="2025-07-05T00:00:00"/>
    <s v="July"/>
    <n v="3"/>
    <n v="18513"/>
  </r>
  <r>
    <x v="313"/>
    <s v="Vikas Singh"/>
    <n v="11"/>
    <s v="Male"/>
    <s v="Asthma"/>
    <x v="0"/>
    <d v="2025-03-27T00:00:00"/>
    <d v="2025-04-10T00:00:00"/>
    <s v="March"/>
    <n v="14"/>
    <n v="108262"/>
  </r>
  <r>
    <x v="314"/>
    <s v="Sara Ali"/>
    <n v="21"/>
    <s v="Male"/>
    <s v="Dengue"/>
    <x v="1"/>
    <d v="2025-08-10T00:00:00"/>
    <d v="2025-08-21T00:00:00"/>
    <s v="August"/>
    <n v="11"/>
    <n v="116171"/>
  </r>
  <r>
    <x v="315"/>
    <s v="Anita Sharma"/>
    <n v="46"/>
    <s v="Female"/>
    <s v="Hypertension"/>
    <x v="1"/>
    <d v="2025-07-27T00:00:00"/>
    <d v="2025-08-07T00:00:00"/>
    <s v="July"/>
    <n v="11"/>
    <n v="110165"/>
  </r>
  <r>
    <x v="316"/>
    <s v="Adil Gupta"/>
    <n v="66"/>
    <s v="Male"/>
    <s v="Migraine"/>
    <x v="0"/>
    <d v="2025-09-13T00:00:00"/>
    <d v="2025-09-24T00:00:00"/>
    <s v="September"/>
    <n v="11"/>
    <n v="92202"/>
  </r>
  <r>
    <x v="317"/>
    <s v="Zara Kapoor"/>
    <n v="48"/>
    <s v="Female"/>
    <s v="Dengue"/>
    <x v="5"/>
    <d v="2025-07-20T00:00:00"/>
    <d v="2025-07-23T00:00:00"/>
    <s v="July"/>
    <n v="3"/>
    <n v="13854"/>
  </r>
  <r>
    <x v="318"/>
    <s v="Adil Singh"/>
    <n v="9"/>
    <s v="Female"/>
    <s v="Asthma"/>
    <x v="6"/>
    <d v="2025-09-18T00:00:00"/>
    <d v="2025-09-22T00:00:00"/>
    <s v="September"/>
    <n v="4"/>
    <n v="40136"/>
  </r>
  <r>
    <x v="319"/>
    <s v="Rohit Singh"/>
    <n v="74"/>
    <s v="Male"/>
    <s v="Heart Disease"/>
    <x v="4"/>
    <d v="2025-02-03T00:00:00"/>
    <d v="2025-02-05T00:00:00"/>
    <s v="February"/>
    <n v="2"/>
    <n v="17708"/>
  </r>
  <r>
    <x v="320"/>
    <s v="Arjun Verma"/>
    <n v="39"/>
    <s v="Male"/>
    <s v="Asthma"/>
    <x v="1"/>
    <d v="2025-05-18T00:00:00"/>
    <d v="2025-05-31T00:00:00"/>
    <s v="May"/>
    <n v="13"/>
    <n v="132340"/>
  </r>
  <r>
    <x v="321"/>
    <s v="Priya Malik"/>
    <n v="12"/>
    <s v="Male"/>
    <s v="Asthma"/>
    <x v="3"/>
    <d v="2025-01-06T00:00:00"/>
    <d v="2025-01-14T00:00:00"/>
    <s v="January"/>
    <n v="8"/>
    <n v="71608"/>
  </r>
  <r>
    <x v="322"/>
    <s v="Imran Kapoor"/>
    <n v="44"/>
    <s v="Female"/>
    <s v="Fever"/>
    <x v="1"/>
    <d v="2025-12-27T00:00:00"/>
    <d v="2026-01-01T00:00:00"/>
    <s v="December"/>
    <n v="5"/>
    <n v="52565"/>
  </r>
  <r>
    <x v="323"/>
    <s v="Neha Kapoor"/>
    <n v="43"/>
    <s v="Male"/>
    <s v="Asthma"/>
    <x v="2"/>
    <d v="2025-09-30T00:00:00"/>
    <d v="2025-10-07T00:00:00"/>
    <s v="September"/>
    <n v="7"/>
    <n v="62517"/>
  </r>
  <r>
    <x v="324"/>
    <s v="Priya Kapoor"/>
    <n v="69"/>
    <s v="Male"/>
    <s v="Pneumonia"/>
    <x v="0"/>
    <d v="2025-04-25T00:00:00"/>
    <d v="2025-05-10T00:00:00"/>
    <s v="April"/>
    <n v="15"/>
    <n v="175035"/>
  </r>
  <r>
    <x v="325"/>
    <s v="Rohit Sharma"/>
    <n v="12"/>
    <s v="Male"/>
    <s v="Migraine"/>
    <x v="3"/>
    <d v="2025-03-26T00:00:00"/>
    <d v="2025-03-31T00:00:00"/>
    <s v="March"/>
    <n v="5"/>
    <n v="52710"/>
  </r>
  <r>
    <x v="326"/>
    <s v="Pooja Verma"/>
    <n v="58"/>
    <s v="Male"/>
    <s v="Covid-19"/>
    <x v="2"/>
    <d v="2025-01-20T00:00:00"/>
    <d v="2025-01-31T00:00:00"/>
    <s v="January"/>
    <n v="11"/>
    <n v="69179"/>
  </r>
  <r>
    <x v="327"/>
    <s v="Neha Malik"/>
    <n v="57"/>
    <s v="Female"/>
    <s v="Covid-19"/>
    <x v="6"/>
    <d v="2025-04-11T00:00:00"/>
    <d v="2025-04-25T00:00:00"/>
    <s v="April"/>
    <n v="14"/>
    <n v="167104"/>
  </r>
  <r>
    <x v="328"/>
    <s v="Adil Rather"/>
    <n v="13"/>
    <s v="Male"/>
    <s v="Heart Disease"/>
    <x v="7"/>
    <d v="2025-03-30T00:00:00"/>
    <d v="2025-04-10T00:00:00"/>
    <s v="March"/>
    <n v="11"/>
    <n v="54175"/>
  </r>
  <r>
    <x v="329"/>
    <s v="Anita Malik"/>
    <n v="80"/>
    <s v="Female"/>
    <s v="Covid-19"/>
    <x v="4"/>
    <d v="2025-03-02T00:00:00"/>
    <d v="2025-03-16T00:00:00"/>
    <s v="March"/>
    <n v="14"/>
    <n v="114296"/>
  </r>
  <r>
    <x v="330"/>
    <s v="Vikas Kumar"/>
    <n v="20"/>
    <s v="Male"/>
    <s v="Covid-19"/>
    <x v="7"/>
    <d v="2025-07-21T00:00:00"/>
    <d v="2025-07-24T00:00:00"/>
    <s v="July"/>
    <n v="3"/>
    <n v="35220"/>
  </r>
  <r>
    <x v="331"/>
    <s v="Pooja Ali"/>
    <n v="19"/>
    <s v="Female"/>
    <s v="Kidney Stone"/>
    <x v="2"/>
    <d v="2025-07-29T00:00:00"/>
    <d v="2025-08-12T00:00:00"/>
    <s v="July"/>
    <n v="14"/>
    <n v="58128"/>
  </r>
  <r>
    <x v="332"/>
    <s v="Neha Kapoor"/>
    <n v="14"/>
    <s v="Male"/>
    <s v="Diabetes"/>
    <x v="3"/>
    <d v="2025-12-31T00:00:00"/>
    <d v="2026-01-07T00:00:00"/>
    <s v="December"/>
    <n v="7"/>
    <n v="28924"/>
  </r>
  <r>
    <x v="333"/>
    <s v="Kiran Gupta"/>
    <n v="50"/>
    <s v="Female"/>
    <s v="Dengue"/>
    <x v="0"/>
    <d v="2025-01-17T00:00:00"/>
    <d v="2025-01-30T00:00:00"/>
    <s v="January"/>
    <n v="13"/>
    <n v="144014"/>
  </r>
  <r>
    <x v="334"/>
    <s v="Priya Rather"/>
    <n v="9"/>
    <s v="Male"/>
    <s v="Migraine"/>
    <x v="2"/>
    <d v="2025-11-19T00:00:00"/>
    <d v="2025-11-23T00:00:00"/>
    <s v="November"/>
    <n v="4"/>
    <n v="34224"/>
  </r>
  <r>
    <x v="335"/>
    <s v="Priya Gupta"/>
    <n v="36"/>
    <s v="Male"/>
    <s v="Kidney Stone"/>
    <x v="6"/>
    <d v="2025-03-27T00:00:00"/>
    <d v="2025-03-30T00:00:00"/>
    <s v="March"/>
    <n v="3"/>
    <n v="20769"/>
  </r>
  <r>
    <x v="336"/>
    <s v="Kiran Khan"/>
    <n v="75"/>
    <s v="Male"/>
    <s v="Migraine"/>
    <x v="2"/>
    <d v="2025-09-29T00:00:00"/>
    <d v="2025-10-14T00:00:00"/>
    <s v="September"/>
    <n v="15"/>
    <n v="80550"/>
  </r>
  <r>
    <x v="337"/>
    <s v="Aman Singh"/>
    <n v="66"/>
    <s v="Female"/>
    <s v="Hypertension"/>
    <x v="6"/>
    <d v="2025-09-06T00:00:00"/>
    <d v="2025-09-09T00:00:00"/>
    <s v="September"/>
    <n v="3"/>
    <n v="35112"/>
  </r>
  <r>
    <x v="338"/>
    <s v="Kiran Malik"/>
    <n v="39"/>
    <s v="Female"/>
    <s v="Migraine"/>
    <x v="6"/>
    <d v="2025-11-12T00:00:00"/>
    <d v="2025-11-22T00:00:00"/>
    <s v="November"/>
    <n v="10"/>
    <n v="115880"/>
  </r>
  <r>
    <x v="339"/>
    <s v="Rohit Rather"/>
    <n v="15"/>
    <s v="Male"/>
    <s v="Heart Disease"/>
    <x v="1"/>
    <d v="2025-12-30T00:00:00"/>
    <d v="2026-01-04T00:00:00"/>
    <s v="December"/>
    <n v="5"/>
    <n v="33170"/>
  </r>
  <r>
    <x v="340"/>
    <s v="Priya Khan"/>
    <n v="35"/>
    <s v="Female"/>
    <s v="Diabetes"/>
    <x v="2"/>
    <d v="2025-12-24T00:00:00"/>
    <d v="2025-12-27T00:00:00"/>
    <s v="December"/>
    <n v="3"/>
    <n v="25176"/>
  </r>
  <r>
    <x v="341"/>
    <s v="Arjun Ali"/>
    <n v="43"/>
    <s v="Male"/>
    <s v="Covid-19"/>
    <x v="7"/>
    <d v="2025-11-29T00:00:00"/>
    <d v="2025-12-10T00:00:00"/>
    <s v="November"/>
    <n v="11"/>
    <n v="95260"/>
  </r>
  <r>
    <x v="342"/>
    <s v="Imran Singh"/>
    <n v="45"/>
    <s v="Female"/>
    <s v="Pneumonia"/>
    <x v="2"/>
    <d v="2025-05-02T00:00:00"/>
    <d v="2025-05-04T00:00:00"/>
    <s v="May"/>
    <n v="2"/>
    <n v="17404"/>
  </r>
  <r>
    <x v="343"/>
    <s v="Zara Gupta"/>
    <n v="63"/>
    <s v="Male"/>
    <s v="Kidney Stone"/>
    <x v="7"/>
    <d v="2025-02-08T00:00:00"/>
    <d v="2025-02-17T00:00:00"/>
    <s v="February"/>
    <n v="9"/>
    <n v="104463"/>
  </r>
  <r>
    <x v="344"/>
    <s v="Mehak Malik"/>
    <n v="20"/>
    <s v="Female"/>
    <s v="Diabetes"/>
    <x v="4"/>
    <d v="2025-01-25T00:00:00"/>
    <d v="2025-02-03T00:00:00"/>
    <s v="January"/>
    <n v="9"/>
    <n v="40707"/>
  </r>
  <r>
    <x v="345"/>
    <s v="Anita Sharma"/>
    <n v="40"/>
    <s v="Female"/>
    <s v="Fever"/>
    <x v="6"/>
    <d v="2025-02-16T00:00:00"/>
    <d v="2025-02-21T00:00:00"/>
    <s v="February"/>
    <n v="5"/>
    <n v="48395"/>
  </r>
  <r>
    <x v="346"/>
    <s v="Imran Kapoor"/>
    <n v="90"/>
    <s v="Male"/>
    <s v="Kidney Stone"/>
    <x v="1"/>
    <d v="2025-01-20T00:00:00"/>
    <d v="2025-01-29T00:00:00"/>
    <s v="January"/>
    <n v="9"/>
    <n v="62307"/>
  </r>
  <r>
    <x v="347"/>
    <s v="Pooja Singh"/>
    <n v="76"/>
    <s v="Female"/>
    <s v="Hypertension"/>
    <x v="0"/>
    <d v="2025-08-27T00:00:00"/>
    <d v="2025-08-30T00:00:00"/>
    <s v="August"/>
    <n v="3"/>
    <n v="26649"/>
  </r>
  <r>
    <x v="348"/>
    <s v="Neha Singh"/>
    <n v="70"/>
    <s v="Male"/>
    <s v="Hypertension"/>
    <x v="3"/>
    <d v="2025-07-20T00:00:00"/>
    <d v="2025-07-26T00:00:00"/>
    <s v="July"/>
    <n v="6"/>
    <n v="65322"/>
  </r>
  <r>
    <x v="349"/>
    <s v="Pooja Gupta"/>
    <n v="81"/>
    <s v="Female"/>
    <s v="Asthma"/>
    <x v="0"/>
    <d v="2025-09-11T00:00:00"/>
    <d v="2025-09-19T00:00:00"/>
    <s v="September"/>
    <n v="8"/>
    <n v="63888"/>
  </r>
  <r>
    <x v="350"/>
    <s v="Neha Malik"/>
    <n v="48"/>
    <s v="Female"/>
    <s v="Kidney Stone"/>
    <x v="5"/>
    <d v="2025-03-13T00:00:00"/>
    <d v="2025-03-17T00:00:00"/>
    <s v="March"/>
    <n v="4"/>
    <n v="33732"/>
  </r>
  <r>
    <x v="351"/>
    <s v="Arjun Kapoor"/>
    <n v="63"/>
    <s v="Male"/>
    <s v="Diabetes"/>
    <x v="7"/>
    <d v="2025-11-14T00:00:00"/>
    <d v="2025-11-23T00:00:00"/>
    <s v="November"/>
    <n v="9"/>
    <n v="79740"/>
  </r>
  <r>
    <x v="352"/>
    <s v="Pooja Kumar"/>
    <n v="5"/>
    <s v="Female"/>
    <s v="Diabetes"/>
    <x v="2"/>
    <d v="2025-12-01T00:00:00"/>
    <d v="2025-12-05T00:00:00"/>
    <s v="December"/>
    <n v="4"/>
    <n v="44192"/>
  </r>
  <r>
    <x v="353"/>
    <s v="Rahul Rather"/>
    <n v="40"/>
    <s v="Female"/>
    <s v="Covid-19"/>
    <x v="5"/>
    <d v="2025-05-10T00:00:00"/>
    <d v="2025-05-20T00:00:00"/>
    <s v="May"/>
    <n v="10"/>
    <n v="63580"/>
  </r>
  <r>
    <x v="354"/>
    <s v="Rohit Kapoor"/>
    <n v="70"/>
    <s v="Female"/>
    <s v="Kidney Stone"/>
    <x v="0"/>
    <d v="2025-07-12T00:00:00"/>
    <d v="2025-07-19T00:00:00"/>
    <s v="July"/>
    <n v="7"/>
    <n v="73108"/>
  </r>
  <r>
    <x v="355"/>
    <s v="Priya Gupta"/>
    <n v="48"/>
    <s v="Female"/>
    <s v="Covid-19"/>
    <x v="2"/>
    <d v="2025-06-11T00:00:00"/>
    <d v="2025-06-18T00:00:00"/>
    <s v="June"/>
    <n v="7"/>
    <n v="77637"/>
  </r>
  <r>
    <x v="356"/>
    <s v="Aman Kumar"/>
    <n v="39"/>
    <s v="Female"/>
    <s v="Heart Disease"/>
    <x v="6"/>
    <d v="2025-10-05T00:00:00"/>
    <d v="2025-10-06T00:00:00"/>
    <s v="October"/>
    <n v="1"/>
    <n v="8791"/>
  </r>
  <r>
    <x v="357"/>
    <s v="Kiran Singh"/>
    <n v="19"/>
    <s v="Female"/>
    <s v="Asthma"/>
    <x v="0"/>
    <d v="2025-12-31T00:00:00"/>
    <d v="2026-01-12T00:00:00"/>
    <s v="December"/>
    <n v="12"/>
    <n v="54576"/>
  </r>
  <r>
    <x v="358"/>
    <s v="Zara Gupta"/>
    <n v="87"/>
    <s v="Male"/>
    <s v="Dengue"/>
    <x v="3"/>
    <d v="2025-05-07T00:00:00"/>
    <d v="2025-05-20T00:00:00"/>
    <s v="May"/>
    <n v="13"/>
    <n v="148291"/>
  </r>
  <r>
    <x v="359"/>
    <s v="Priya Malik"/>
    <n v="75"/>
    <s v="Male"/>
    <s v="Covid-19"/>
    <x v="5"/>
    <d v="2025-09-03T00:00:00"/>
    <d v="2025-09-06T00:00:00"/>
    <s v="September"/>
    <n v="3"/>
    <n v="29802"/>
  </r>
  <r>
    <x v="360"/>
    <s v="Priya Rather"/>
    <n v="13"/>
    <s v="Male"/>
    <s v="Diabetes"/>
    <x v="6"/>
    <d v="2025-03-18T00:00:00"/>
    <d v="2025-03-26T00:00:00"/>
    <s v="March"/>
    <n v="8"/>
    <n v="85216"/>
  </r>
  <r>
    <x v="361"/>
    <s v="Arjun Sharma"/>
    <n v="4"/>
    <s v="Female"/>
    <s v="Migraine"/>
    <x v="6"/>
    <d v="2025-10-03T00:00:00"/>
    <d v="2025-10-11T00:00:00"/>
    <s v="October"/>
    <n v="8"/>
    <n v="33080"/>
  </r>
  <r>
    <x v="362"/>
    <s v="Adil Sharma"/>
    <n v="16"/>
    <s v="Female"/>
    <s v="Covid-19"/>
    <x v="5"/>
    <d v="2025-01-27T00:00:00"/>
    <d v="2025-01-31T00:00:00"/>
    <s v="January"/>
    <n v="4"/>
    <n v="35128"/>
  </r>
  <r>
    <x v="363"/>
    <s v="Vikas Rather"/>
    <n v="18"/>
    <s v="Female"/>
    <s v="Migraine"/>
    <x v="3"/>
    <d v="2025-10-31T00:00:00"/>
    <d v="2025-11-02T00:00:00"/>
    <s v="October"/>
    <n v="2"/>
    <n v="11896"/>
  </r>
  <r>
    <x v="364"/>
    <s v="Zara Gupta"/>
    <n v="35"/>
    <s v="Male"/>
    <s v="Pneumonia"/>
    <x v="3"/>
    <d v="2025-10-02T00:00:00"/>
    <d v="2025-10-17T00:00:00"/>
    <s v="October"/>
    <n v="15"/>
    <n v="125055"/>
  </r>
  <r>
    <x v="365"/>
    <s v="Rohit Sharma"/>
    <n v="36"/>
    <s v="Female"/>
    <s v="Heart Disease"/>
    <x v="6"/>
    <d v="2025-05-17T00:00:00"/>
    <d v="2025-05-24T00:00:00"/>
    <s v="May"/>
    <n v="7"/>
    <n v="71743"/>
  </r>
  <r>
    <x v="366"/>
    <s v="Aman Singh"/>
    <n v="85"/>
    <s v="Female"/>
    <s v="Heart Disease"/>
    <x v="4"/>
    <d v="2025-04-11T00:00:00"/>
    <d v="2025-04-17T00:00:00"/>
    <s v="April"/>
    <n v="6"/>
    <n v="24072"/>
  </r>
  <r>
    <x v="367"/>
    <s v="Rohit Gupta"/>
    <n v="4"/>
    <s v="Female"/>
    <s v="Dengue"/>
    <x v="2"/>
    <d v="2025-01-20T00:00:00"/>
    <d v="2025-01-31T00:00:00"/>
    <s v="January"/>
    <n v="11"/>
    <n v="117744"/>
  </r>
  <r>
    <x v="368"/>
    <s v="Aman Gupta"/>
    <n v="19"/>
    <s v="Female"/>
    <s v="Kidney Stone"/>
    <x v="3"/>
    <d v="2025-03-15T00:00:00"/>
    <d v="2025-03-21T00:00:00"/>
    <s v="March"/>
    <n v="6"/>
    <n v="54462"/>
  </r>
  <r>
    <x v="369"/>
    <s v="Rahul Gupta"/>
    <n v="42"/>
    <s v="Male"/>
    <s v="Asthma"/>
    <x v="0"/>
    <d v="2025-01-04T00:00:00"/>
    <d v="2025-01-16T00:00:00"/>
    <s v="January"/>
    <n v="12"/>
    <n v="101376"/>
  </r>
  <r>
    <x v="370"/>
    <s v="Pooja Gupta"/>
    <n v="6"/>
    <s v="Male"/>
    <s v="Diabetes"/>
    <x v="0"/>
    <d v="2025-10-04T00:00:00"/>
    <d v="2025-10-15T00:00:00"/>
    <s v="October"/>
    <n v="11"/>
    <n v="45386"/>
  </r>
  <r>
    <x v="371"/>
    <s v="Vikas Kapoor"/>
    <n v="65"/>
    <s v="Female"/>
    <s v="Kidney Stone"/>
    <x v="1"/>
    <d v="2025-02-07T00:00:00"/>
    <d v="2025-02-22T00:00:00"/>
    <s v="February"/>
    <n v="15"/>
    <n v="110805"/>
  </r>
  <r>
    <x v="372"/>
    <s v="Anita Verma"/>
    <n v="41"/>
    <s v="Male"/>
    <s v="Hypertension"/>
    <x v="5"/>
    <d v="2025-02-27T00:00:00"/>
    <d v="2025-03-12T00:00:00"/>
    <s v="February"/>
    <n v="13"/>
    <n v="55874"/>
  </r>
  <r>
    <x v="373"/>
    <s v="Arjun Singh"/>
    <n v="81"/>
    <s v="Male"/>
    <s v="Asthma"/>
    <x v="4"/>
    <d v="2025-04-12T00:00:00"/>
    <d v="2025-04-14T00:00:00"/>
    <s v="April"/>
    <n v="2"/>
    <n v="13064"/>
  </r>
  <r>
    <x v="374"/>
    <s v="Priya Sharma"/>
    <n v="28"/>
    <s v="Male"/>
    <s v="Covid-19"/>
    <x v="2"/>
    <d v="2025-10-15T00:00:00"/>
    <d v="2025-10-19T00:00:00"/>
    <s v="October"/>
    <n v="4"/>
    <n v="19768"/>
  </r>
  <r>
    <x v="375"/>
    <s v="Mehak Ali"/>
    <n v="39"/>
    <s v="Female"/>
    <s v="Covid-19"/>
    <x v="1"/>
    <d v="2025-11-13T00:00:00"/>
    <d v="2025-11-20T00:00:00"/>
    <s v="November"/>
    <n v="7"/>
    <n v="50085"/>
  </r>
  <r>
    <x v="376"/>
    <s v="Neha Ali"/>
    <n v="87"/>
    <s v="Male"/>
    <s v="Heart Disease"/>
    <x v="4"/>
    <d v="2025-07-23T00:00:00"/>
    <d v="2025-08-07T00:00:00"/>
    <s v="July"/>
    <n v="15"/>
    <n v="69150"/>
  </r>
  <r>
    <x v="377"/>
    <s v="Mehak Sharma"/>
    <n v="28"/>
    <s v="Female"/>
    <s v="Kidney Stone"/>
    <x v="2"/>
    <d v="2025-09-18T00:00:00"/>
    <d v="2025-09-24T00:00:00"/>
    <s v="September"/>
    <n v="6"/>
    <n v="36486"/>
  </r>
  <r>
    <x v="378"/>
    <s v="Priya Ali"/>
    <n v="89"/>
    <s v="Male"/>
    <s v="Migraine"/>
    <x v="6"/>
    <d v="2025-07-21T00:00:00"/>
    <d v="2025-07-28T00:00:00"/>
    <s v="July"/>
    <n v="7"/>
    <n v="37793"/>
  </r>
  <r>
    <x v="379"/>
    <s v="Imran Khan"/>
    <n v="7"/>
    <s v="Male"/>
    <s v="Hypertension"/>
    <x v="2"/>
    <d v="2025-10-26T00:00:00"/>
    <d v="2025-11-09T00:00:00"/>
    <s v="October"/>
    <n v="14"/>
    <n v="97370"/>
  </r>
  <r>
    <x v="380"/>
    <s v="Rahul Kapoor"/>
    <n v="64"/>
    <s v="Male"/>
    <s v="Kidney Stone"/>
    <x v="2"/>
    <d v="2025-03-03T00:00:00"/>
    <d v="2025-03-11T00:00:00"/>
    <s v="March"/>
    <n v="8"/>
    <n v="63712"/>
  </r>
  <r>
    <x v="381"/>
    <s v="Priya Ali"/>
    <n v="20"/>
    <s v="Male"/>
    <s v="Covid-19"/>
    <x v="5"/>
    <d v="2025-11-23T00:00:00"/>
    <d v="2025-11-25T00:00:00"/>
    <s v="November"/>
    <n v="2"/>
    <n v="14386"/>
  </r>
  <r>
    <x v="382"/>
    <s v="Zara Ali"/>
    <n v="34"/>
    <s v="Male"/>
    <s v="Dengue"/>
    <x v="2"/>
    <d v="2025-08-01T00:00:00"/>
    <d v="2025-08-02T00:00:00"/>
    <s v="August"/>
    <n v="1"/>
    <n v="10815"/>
  </r>
  <r>
    <x v="383"/>
    <s v="Kiran Ali"/>
    <n v="50"/>
    <s v="Male"/>
    <s v="Pneumonia"/>
    <x v="3"/>
    <d v="2025-09-10T00:00:00"/>
    <d v="2025-09-17T00:00:00"/>
    <s v="September"/>
    <n v="7"/>
    <n v="72331"/>
  </r>
  <r>
    <x v="384"/>
    <s v="Arjun Malik"/>
    <n v="22"/>
    <s v="Male"/>
    <s v="Kidney Stone"/>
    <x v="3"/>
    <d v="2025-07-11T00:00:00"/>
    <d v="2025-07-20T00:00:00"/>
    <s v="July"/>
    <n v="9"/>
    <n v="99918"/>
  </r>
  <r>
    <x v="385"/>
    <s v="Kiran Sharma"/>
    <n v="19"/>
    <s v="Male"/>
    <s v="Diabetes"/>
    <x v="4"/>
    <d v="2025-04-10T00:00:00"/>
    <d v="2025-04-13T00:00:00"/>
    <s v="April"/>
    <n v="3"/>
    <n v="32208"/>
  </r>
  <r>
    <x v="386"/>
    <s v="Rahul Verma"/>
    <n v="43"/>
    <s v="Male"/>
    <s v="Covid-19"/>
    <x v="0"/>
    <d v="2025-09-30T00:00:00"/>
    <d v="2025-10-15T00:00:00"/>
    <s v="September"/>
    <n v="15"/>
    <n v="114030"/>
  </r>
  <r>
    <x v="387"/>
    <s v="Rohit Kapoor"/>
    <n v="9"/>
    <s v="Male"/>
    <s v="Asthma"/>
    <x v="0"/>
    <d v="2025-12-19T00:00:00"/>
    <d v="2025-12-25T00:00:00"/>
    <s v="December"/>
    <n v="6"/>
    <n v="54048"/>
  </r>
  <r>
    <x v="388"/>
    <s v="Rohit Gupta"/>
    <n v="60"/>
    <s v="Female"/>
    <s v="Diabetes"/>
    <x v="1"/>
    <d v="2025-07-20T00:00:00"/>
    <d v="2025-07-28T00:00:00"/>
    <s v="July"/>
    <n v="8"/>
    <n v="55408"/>
  </r>
  <r>
    <x v="389"/>
    <s v="Kiran Verma"/>
    <n v="23"/>
    <s v="Male"/>
    <s v="Covid-19"/>
    <x v="7"/>
    <d v="2025-06-21T00:00:00"/>
    <d v="2025-07-03T00:00:00"/>
    <s v="June"/>
    <n v="12"/>
    <n v="59028"/>
  </r>
  <r>
    <x v="390"/>
    <s v="Zara Sharma"/>
    <n v="73"/>
    <s v="Male"/>
    <s v="Fever"/>
    <x v="7"/>
    <d v="2025-04-03T00:00:00"/>
    <d v="2025-04-15T00:00:00"/>
    <s v="April"/>
    <n v="12"/>
    <n v="103572"/>
  </r>
  <r>
    <x v="391"/>
    <s v="Rahul Singh"/>
    <n v="17"/>
    <s v="Male"/>
    <s v="Kidney Stone"/>
    <x v="7"/>
    <d v="2025-12-13T00:00:00"/>
    <d v="2025-12-28T00:00:00"/>
    <s v="December"/>
    <n v="15"/>
    <n v="79050"/>
  </r>
  <r>
    <x v="392"/>
    <s v="Arjun Sharma"/>
    <n v="78"/>
    <s v="Female"/>
    <s v="Asthma"/>
    <x v="3"/>
    <d v="2025-08-11T00:00:00"/>
    <d v="2025-08-13T00:00:00"/>
    <s v="August"/>
    <n v="2"/>
    <n v="12170"/>
  </r>
  <r>
    <x v="393"/>
    <s v="Kiran Rather"/>
    <n v="81"/>
    <s v="Male"/>
    <s v="Hypertension"/>
    <x v="1"/>
    <d v="2025-05-23T00:00:00"/>
    <d v="2025-06-01T00:00:00"/>
    <s v="May"/>
    <n v="9"/>
    <n v="53595"/>
  </r>
  <r>
    <x v="394"/>
    <s v="Priya Ali"/>
    <n v="74"/>
    <s v="Male"/>
    <s v="Heart Disease"/>
    <x v="4"/>
    <d v="2025-05-26T00:00:00"/>
    <d v="2025-06-05T00:00:00"/>
    <s v="May"/>
    <n v="10"/>
    <n v="50590"/>
  </r>
  <r>
    <x v="395"/>
    <s v="Adil Malik"/>
    <n v="20"/>
    <s v="Male"/>
    <s v="Heart Disease"/>
    <x v="5"/>
    <d v="2025-09-18T00:00:00"/>
    <d v="2025-09-19T00:00:00"/>
    <s v="September"/>
    <n v="1"/>
    <n v="10569"/>
  </r>
  <r>
    <x v="396"/>
    <s v="Arjun Verma"/>
    <n v="67"/>
    <s v="Female"/>
    <s v="Diabetes"/>
    <x v="4"/>
    <d v="2025-03-07T00:00:00"/>
    <d v="2025-03-18T00:00:00"/>
    <s v="March"/>
    <n v="11"/>
    <n v="71379"/>
  </r>
  <r>
    <x v="397"/>
    <s v="Kiran Kapoor"/>
    <n v="44"/>
    <s v="Male"/>
    <s v="Dengue"/>
    <x v="2"/>
    <d v="2025-04-28T00:00:00"/>
    <d v="2025-05-13T00:00:00"/>
    <s v="April"/>
    <n v="15"/>
    <n v="179370"/>
  </r>
  <r>
    <x v="398"/>
    <s v="Priya Singh"/>
    <n v="54"/>
    <s v="Female"/>
    <s v="Dengue"/>
    <x v="4"/>
    <d v="2025-07-17T00:00:00"/>
    <d v="2025-08-01T00:00:00"/>
    <s v="July"/>
    <n v="15"/>
    <n v="143610"/>
  </r>
  <r>
    <x v="399"/>
    <s v="Kiran Sharma"/>
    <n v="85"/>
    <s v="Male"/>
    <s v="Asthma"/>
    <x v="1"/>
    <d v="2025-06-16T00:00:00"/>
    <d v="2025-07-01T00:00:00"/>
    <s v="June"/>
    <n v="15"/>
    <n v="145845"/>
  </r>
  <r>
    <x v="400"/>
    <s v="Adil Singh"/>
    <n v="37"/>
    <s v="Female"/>
    <s v="Hypertension"/>
    <x v="0"/>
    <d v="2025-10-20T00:00:00"/>
    <d v="2025-10-29T00:00:00"/>
    <s v="October"/>
    <n v="9"/>
    <n v="72126"/>
  </r>
  <r>
    <x v="401"/>
    <s v="Anita Kumar"/>
    <n v="12"/>
    <s v="Female"/>
    <s v="Asthma"/>
    <x v="7"/>
    <d v="2025-11-03T00:00:00"/>
    <d v="2025-11-05T00:00:00"/>
    <s v="November"/>
    <n v="2"/>
    <n v="12256"/>
  </r>
  <r>
    <x v="402"/>
    <s v="Aman Ali"/>
    <n v="88"/>
    <s v="Male"/>
    <s v="Fever"/>
    <x v="1"/>
    <d v="2025-02-01T00:00:00"/>
    <d v="2025-02-08T00:00:00"/>
    <s v="February"/>
    <n v="7"/>
    <n v="61068"/>
  </r>
  <r>
    <x v="403"/>
    <s v="Kiran Kapoor"/>
    <n v="66"/>
    <s v="Male"/>
    <s v="Migraine"/>
    <x v="0"/>
    <d v="2025-12-18T00:00:00"/>
    <d v="2025-12-28T00:00:00"/>
    <s v="December"/>
    <n v="10"/>
    <n v="89460"/>
  </r>
  <r>
    <x v="404"/>
    <s v="Anita Verma"/>
    <n v="23"/>
    <s v="Female"/>
    <s v="Hypertension"/>
    <x v="4"/>
    <d v="2025-03-27T00:00:00"/>
    <d v="2025-03-28T00:00:00"/>
    <s v="March"/>
    <n v="1"/>
    <n v="5296"/>
  </r>
  <r>
    <x v="405"/>
    <s v="Anita Singh"/>
    <n v="81"/>
    <s v="Male"/>
    <s v="Asthma"/>
    <x v="2"/>
    <d v="2025-07-31T00:00:00"/>
    <d v="2025-08-12T00:00:00"/>
    <s v="July"/>
    <n v="12"/>
    <n v="140400"/>
  </r>
  <r>
    <x v="406"/>
    <s v="Neha Gupta"/>
    <n v="62"/>
    <s v="Female"/>
    <s v="Fever"/>
    <x v="7"/>
    <d v="2025-11-16T00:00:00"/>
    <d v="2025-11-30T00:00:00"/>
    <s v="November"/>
    <n v="14"/>
    <n v="119938"/>
  </r>
  <r>
    <x v="407"/>
    <s v="Mehak Verma"/>
    <n v="2"/>
    <s v="Female"/>
    <s v="Diabetes"/>
    <x v="7"/>
    <d v="2025-10-06T00:00:00"/>
    <d v="2025-10-17T00:00:00"/>
    <s v="October"/>
    <n v="11"/>
    <n v="70576"/>
  </r>
  <r>
    <x v="408"/>
    <s v="Rohit Ali"/>
    <n v="20"/>
    <s v="Male"/>
    <s v="Diabetes"/>
    <x v="3"/>
    <d v="2025-02-26T00:00:00"/>
    <d v="2025-03-01T00:00:00"/>
    <s v="February"/>
    <n v="3"/>
    <n v="30087"/>
  </r>
  <r>
    <x v="409"/>
    <s v="Zara Khan"/>
    <n v="1"/>
    <s v="Female"/>
    <s v="Kidney Stone"/>
    <x v="1"/>
    <d v="2025-01-18T00:00:00"/>
    <d v="2025-01-30T00:00:00"/>
    <s v="January"/>
    <n v="12"/>
    <n v="138720"/>
  </r>
  <r>
    <x v="410"/>
    <s v="Pooja Khan"/>
    <n v="20"/>
    <s v="Female"/>
    <s v="Heart Disease"/>
    <x v="1"/>
    <d v="2025-08-09T00:00:00"/>
    <d v="2025-08-24T00:00:00"/>
    <s v="August"/>
    <n v="15"/>
    <n v="80655"/>
  </r>
  <r>
    <x v="411"/>
    <s v="Mehak Kapoor"/>
    <n v="54"/>
    <s v="Female"/>
    <s v="Pneumonia"/>
    <x v="3"/>
    <d v="2025-06-29T00:00:00"/>
    <d v="2025-07-11T00:00:00"/>
    <s v="June"/>
    <n v="12"/>
    <n v="104232"/>
  </r>
  <r>
    <x v="412"/>
    <s v="Pooja Sharma"/>
    <n v="12"/>
    <s v="Male"/>
    <s v="Heart Disease"/>
    <x v="0"/>
    <d v="2025-04-05T00:00:00"/>
    <d v="2025-04-15T00:00:00"/>
    <s v="April"/>
    <n v="10"/>
    <n v="97370"/>
  </r>
  <r>
    <x v="413"/>
    <s v="Priya Verma"/>
    <n v="88"/>
    <s v="Male"/>
    <s v="Pneumonia"/>
    <x v="0"/>
    <d v="2025-01-04T00:00:00"/>
    <d v="2025-01-10T00:00:00"/>
    <s v="January"/>
    <n v="6"/>
    <n v="26760"/>
  </r>
  <r>
    <x v="414"/>
    <s v="Zara Verma"/>
    <n v="70"/>
    <s v="Male"/>
    <s v="Fever"/>
    <x v="5"/>
    <d v="2025-07-10T00:00:00"/>
    <d v="2025-07-25T00:00:00"/>
    <s v="July"/>
    <n v="15"/>
    <n v="100305"/>
  </r>
  <r>
    <x v="415"/>
    <s v="Arjun Gupta"/>
    <n v="56"/>
    <s v="Female"/>
    <s v="Heart Disease"/>
    <x v="7"/>
    <d v="2025-05-10T00:00:00"/>
    <d v="2025-05-13T00:00:00"/>
    <s v="May"/>
    <n v="3"/>
    <n v="12888"/>
  </r>
  <r>
    <x v="416"/>
    <s v="Priya Rather"/>
    <n v="26"/>
    <s v="Female"/>
    <s v="Fever"/>
    <x v="1"/>
    <d v="2025-04-12T00:00:00"/>
    <d v="2025-04-21T00:00:00"/>
    <s v="April"/>
    <n v="9"/>
    <n v="84852"/>
  </r>
  <r>
    <x v="417"/>
    <s v="Adil Gupta"/>
    <n v="90"/>
    <s v="Male"/>
    <s v="Heart Disease"/>
    <x v="0"/>
    <d v="2025-03-04T00:00:00"/>
    <d v="2025-03-18T00:00:00"/>
    <s v="March"/>
    <n v="14"/>
    <n v="115528"/>
  </r>
  <r>
    <x v="418"/>
    <s v="Sara Sharma"/>
    <n v="16"/>
    <s v="Male"/>
    <s v="Diabetes"/>
    <x v="2"/>
    <d v="2025-12-22T00:00:00"/>
    <d v="2025-12-29T00:00:00"/>
    <s v="December"/>
    <n v="7"/>
    <n v="48412"/>
  </r>
  <r>
    <x v="419"/>
    <s v="Priya Rather"/>
    <n v="15"/>
    <s v="Female"/>
    <s v="Fever"/>
    <x v="0"/>
    <d v="2025-05-23T00:00:00"/>
    <d v="2025-06-05T00:00:00"/>
    <s v="May"/>
    <n v="13"/>
    <n v="118898"/>
  </r>
  <r>
    <x v="420"/>
    <s v="Arjun Gupta"/>
    <n v="42"/>
    <s v="Female"/>
    <s v="Migraine"/>
    <x v="1"/>
    <d v="2025-05-06T00:00:00"/>
    <d v="2025-05-18T00:00:00"/>
    <s v="May"/>
    <n v="12"/>
    <n v="130812"/>
  </r>
  <r>
    <x v="421"/>
    <s v="Adil Sharma"/>
    <n v="57"/>
    <s v="Male"/>
    <s v="Asthma"/>
    <x v="4"/>
    <d v="2025-06-02T00:00:00"/>
    <d v="2025-06-11T00:00:00"/>
    <s v="June"/>
    <n v="9"/>
    <n v="47574"/>
  </r>
  <r>
    <x v="422"/>
    <s v="Arjun Singh"/>
    <n v="27"/>
    <s v="Male"/>
    <s v="Heart Disease"/>
    <x v="6"/>
    <d v="2025-07-23T00:00:00"/>
    <d v="2025-08-02T00:00:00"/>
    <s v="July"/>
    <n v="10"/>
    <n v="120000"/>
  </r>
  <r>
    <x v="423"/>
    <s v="Neha Ali"/>
    <n v="47"/>
    <s v="Female"/>
    <s v="Pneumonia"/>
    <x v="2"/>
    <d v="2025-12-01T00:00:00"/>
    <d v="2025-12-13T00:00:00"/>
    <s v="December"/>
    <n v="12"/>
    <n v="138084"/>
  </r>
  <r>
    <x v="424"/>
    <s v="Anita Gupta"/>
    <n v="50"/>
    <s v="Female"/>
    <s v="Diabetes"/>
    <x v="2"/>
    <d v="2025-03-16T00:00:00"/>
    <d v="2025-03-20T00:00:00"/>
    <s v="March"/>
    <n v="4"/>
    <n v="22636"/>
  </r>
  <r>
    <x v="425"/>
    <s v="Sara Malik"/>
    <n v="36"/>
    <s v="Female"/>
    <s v="Diabetes"/>
    <x v="0"/>
    <d v="2025-07-03T00:00:00"/>
    <d v="2025-07-11T00:00:00"/>
    <s v="July"/>
    <n v="8"/>
    <n v="57104"/>
  </r>
  <r>
    <x v="426"/>
    <s v="Sara Kapoor"/>
    <n v="13"/>
    <s v="Female"/>
    <s v="Fever"/>
    <x v="3"/>
    <d v="2025-01-22T00:00:00"/>
    <d v="2025-02-03T00:00:00"/>
    <s v="January"/>
    <n v="12"/>
    <n v="128808"/>
  </r>
  <r>
    <x v="427"/>
    <s v="Kiran Singh"/>
    <n v="58"/>
    <s v="Female"/>
    <s v="Heart Disease"/>
    <x v="4"/>
    <d v="2025-03-04T00:00:00"/>
    <d v="2025-03-12T00:00:00"/>
    <s v="March"/>
    <n v="8"/>
    <n v="70840"/>
  </r>
  <r>
    <x v="428"/>
    <s v="Adil Verma"/>
    <n v="76"/>
    <s v="Male"/>
    <s v="Hypertension"/>
    <x v="3"/>
    <d v="2025-01-16T00:00:00"/>
    <d v="2025-01-21T00:00:00"/>
    <s v="January"/>
    <n v="5"/>
    <n v="50985"/>
  </r>
  <r>
    <x v="429"/>
    <s v="Zara Kumar"/>
    <n v="33"/>
    <s v="Male"/>
    <s v="Pneumonia"/>
    <x v="2"/>
    <d v="2025-11-08T00:00:00"/>
    <d v="2025-11-10T00:00:00"/>
    <s v="November"/>
    <n v="2"/>
    <n v="10104"/>
  </r>
  <r>
    <x v="430"/>
    <s v="Imran Ali"/>
    <n v="70"/>
    <s v="Female"/>
    <s v="Hypertension"/>
    <x v="5"/>
    <d v="2025-08-10T00:00:00"/>
    <d v="2025-08-14T00:00:00"/>
    <s v="August"/>
    <n v="4"/>
    <n v="40804"/>
  </r>
  <r>
    <x v="431"/>
    <s v="Adil Rather"/>
    <n v="69"/>
    <s v="Female"/>
    <s v="Covid-19"/>
    <x v="0"/>
    <d v="2025-12-26T00:00:00"/>
    <d v="2026-01-01T00:00:00"/>
    <s v="December"/>
    <n v="6"/>
    <n v="56766"/>
  </r>
  <r>
    <x v="432"/>
    <s v="Aman Kapoor"/>
    <n v="67"/>
    <s v="Female"/>
    <s v="Covid-19"/>
    <x v="3"/>
    <d v="2025-05-13T00:00:00"/>
    <d v="2025-05-16T00:00:00"/>
    <s v="May"/>
    <n v="3"/>
    <n v="26751"/>
  </r>
  <r>
    <x v="433"/>
    <s v="Imran Sharma"/>
    <n v="88"/>
    <s v="Male"/>
    <s v="Asthma"/>
    <x v="1"/>
    <d v="2025-12-28T00:00:00"/>
    <d v="2026-01-07T00:00:00"/>
    <s v="December"/>
    <n v="10"/>
    <n v="53830"/>
  </r>
  <r>
    <x v="434"/>
    <s v="Rahul Kumar"/>
    <n v="47"/>
    <s v="Male"/>
    <s v="Pneumonia"/>
    <x v="1"/>
    <d v="2025-04-22T00:00:00"/>
    <d v="2025-04-29T00:00:00"/>
    <s v="April"/>
    <n v="7"/>
    <n v="32613"/>
  </r>
  <r>
    <x v="435"/>
    <s v="Pooja Malik"/>
    <n v="48"/>
    <s v="Female"/>
    <s v="Kidney Stone"/>
    <x v="6"/>
    <d v="2025-11-04T00:00:00"/>
    <d v="2025-11-10T00:00:00"/>
    <s v="November"/>
    <n v="6"/>
    <n v="53052"/>
  </r>
  <r>
    <x v="436"/>
    <s v="Neha Malik"/>
    <n v="89"/>
    <s v="Female"/>
    <s v="Heart Disease"/>
    <x v="1"/>
    <d v="2025-08-23T00:00:00"/>
    <d v="2025-09-06T00:00:00"/>
    <s v="August"/>
    <n v="14"/>
    <n v="64484"/>
  </r>
  <r>
    <x v="437"/>
    <s v="Rohit Gupta"/>
    <n v="75"/>
    <s v="Male"/>
    <s v="Fever"/>
    <x v="0"/>
    <d v="2025-12-18T00:00:00"/>
    <d v="2026-01-02T00:00:00"/>
    <s v="December"/>
    <n v="15"/>
    <n v="110655"/>
  </r>
  <r>
    <x v="438"/>
    <s v="Neha Ali"/>
    <n v="16"/>
    <s v="Male"/>
    <s v="Migraine"/>
    <x v="2"/>
    <d v="2025-05-19T00:00:00"/>
    <d v="2025-05-25T00:00:00"/>
    <s v="May"/>
    <n v="6"/>
    <n v="57054"/>
  </r>
  <r>
    <x v="439"/>
    <s v="Mehak Sharma"/>
    <n v="38"/>
    <s v="Female"/>
    <s v="Hypertension"/>
    <x v="4"/>
    <d v="2025-05-27T00:00:00"/>
    <d v="2025-06-08T00:00:00"/>
    <s v="May"/>
    <n v="12"/>
    <n v="136380"/>
  </r>
  <r>
    <x v="440"/>
    <s v="Anita Khan"/>
    <n v="85"/>
    <s v="Female"/>
    <s v="Kidney Stone"/>
    <x v="0"/>
    <d v="2025-02-23T00:00:00"/>
    <d v="2025-03-02T00:00:00"/>
    <s v="February"/>
    <n v="7"/>
    <n v="69832"/>
  </r>
  <r>
    <x v="441"/>
    <s v="Kiran Kapoor"/>
    <n v="21"/>
    <s v="Male"/>
    <s v="Migraine"/>
    <x v="2"/>
    <d v="2025-09-19T00:00:00"/>
    <d v="2025-09-27T00:00:00"/>
    <s v="September"/>
    <n v="8"/>
    <n v="42944"/>
  </r>
  <r>
    <x v="442"/>
    <s v="Mehak Malik"/>
    <n v="59"/>
    <s v="Female"/>
    <s v="Pneumonia"/>
    <x v="4"/>
    <d v="2025-01-30T00:00:00"/>
    <d v="2025-02-14T00:00:00"/>
    <s v="January"/>
    <n v="15"/>
    <n v="161520"/>
  </r>
  <r>
    <x v="443"/>
    <s v="Anita Gupta"/>
    <n v="15"/>
    <s v="Female"/>
    <s v="Heart Disease"/>
    <x v="0"/>
    <d v="2025-07-07T00:00:00"/>
    <d v="2025-07-19T00:00:00"/>
    <s v="July"/>
    <n v="12"/>
    <n v="73080"/>
  </r>
  <r>
    <x v="444"/>
    <s v="Sara Singh"/>
    <n v="36"/>
    <s v="Male"/>
    <s v="Migraine"/>
    <x v="3"/>
    <d v="2025-05-19T00:00:00"/>
    <d v="2025-05-20T00:00:00"/>
    <s v="May"/>
    <n v="1"/>
    <n v="5624"/>
  </r>
  <r>
    <x v="445"/>
    <s v="Pooja Khan"/>
    <n v="2"/>
    <s v="Male"/>
    <s v="Pneumonia"/>
    <x v="4"/>
    <d v="2025-02-26T00:00:00"/>
    <d v="2025-02-27T00:00:00"/>
    <s v="February"/>
    <n v="1"/>
    <n v="7215"/>
  </r>
  <r>
    <x v="446"/>
    <s v="Aman Sharma"/>
    <n v="51"/>
    <s v="Female"/>
    <s v="Diabetes"/>
    <x v="5"/>
    <d v="2025-06-15T00:00:00"/>
    <d v="2025-06-28T00:00:00"/>
    <s v="June"/>
    <n v="13"/>
    <n v="133939"/>
  </r>
  <r>
    <x v="447"/>
    <s v="Priya Kapoor"/>
    <n v="19"/>
    <s v="Male"/>
    <s v="Fever"/>
    <x v="5"/>
    <d v="2025-04-06T00:00:00"/>
    <d v="2025-04-21T00:00:00"/>
    <s v="April"/>
    <n v="15"/>
    <n v="148215"/>
  </r>
  <r>
    <x v="448"/>
    <s v="Arjun Singh"/>
    <n v="43"/>
    <s v="Female"/>
    <s v="Asthma"/>
    <x v="6"/>
    <d v="2025-11-12T00:00:00"/>
    <d v="2025-11-18T00:00:00"/>
    <s v="November"/>
    <n v="6"/>
    <n v="65766"/>
  </r>
  <r>
    <x v="449"/>
    <s v="Kiran Ali"/>
    <n v="69"/>
    <s v="Male"/>
    <s v="Kidney Stone"/>
    <x v="7"/>
    <d v="2025-12-04T00:00:00"/>
    <d v="2025-12-15T00:00:00"/>
    <s v="December"/>
    <n v="11"/>
    <n v="81433"/>
  </r>
  <r>
    <x v="450"/>
    <s v="Rohit Khan"/>
    <n v="25"/>
    <s v="Female"/>
    <s v="Migraine"/>
    <x v="7"/>
    <d v="2025-02-25T00:00:00"/>
    <d v="2025-03-08T00:00:00"/>
    <s v="February"/>
    <n v="11"/>
    <n v="66264"/>
  </r>
  <r>
    <x v="451"/>
    <s v="Adil Verma"/>
    <n v="9"/>
    <s v="Male"/>
    <s v="Diabetes"/>
    <x v="7"/>
    <d v="2025-06-11T00:00:00"/>
    <d v="2025-06-22T00:00:00"/>
    <s v="June"/>
    <n v="11"/>
    <n v="109274"/>
  </r>
  <r>
    <x v="452"/>
    <s v="Priya Rather"/>
    <n v="6"/>
    <s v="Male"/>
    <s v="Dengue"/>
    <x v="6"/>
    <d v="2025-05-13T00:00:00"/>
    <d v="2025-05-27T00:00:00"/>
    <s v="May"/>
    <n v="14"/>
    <n v="57666"/>
  </r>
  <r>
    <x v="453"/>
    <s v="Priya Rather"/>
    <n v="40"/>
    <s v="Female"/>
    <s v="Heart Disease"/>
    <x v="6"/>
    <d v="2025-08-10T00:00:00"/>
    <d v="2025-08-23T00:00:00"/>
    <s v="August"/>
    <n v="13"/>
    <n v="143923"/>
  </r>
  <r>
    <x v="454"/>
    <s v="Rohit Kumar"/>
    <n v="6"/>
    <s v="Male"/>
    <s v="Fever"/>
    <x v="0"/>
    <d v="2025-12-19T00:00:00"/>
    <d v="2025-12-22T00:00:00"/>
    <s v="December"/>
    <n v="3"/>
    <n v="28863"/>
  </r>
  <r>
    <x v="455"/>
    <s v="Arjun Kumar"/>
    <n v="2"/>
    <s v="Male"/>
    <s v="Asthma"/>
    <x v="6"/>
    <d v="2025-04-11T00:00:00"/>
    <d v="2025-04-19T00:00:00"/>
    <s v="April"/>
    <n v="8"/>
    <n v="71560"/>
  </r>
  <r>
    <x v="456"/>
    <s v="Neha Kumar"/>
    <n v="75"/>
    <s v="Male"/>
    <s v="Asthma"/>
    <x v="7"/>
    <d v="2025-03-19T00:00:00"/>
    <d v="2025-04-02T00:00:00"/>
    <s v="March"/>
    <n v="14"/>
    <n v="65996"/>
  </r>
  <r>
    <x v="457"/>
    <s v="Anita Singh"/>
    <n v="64"/>
    <s v="Male"/>
    <s v="Pneumonia"/>
    <x v="3"/>
    <d v="2025-06-15T00:00:00"/>
    <d v="2025-06-19T00:00:00"/>
    <s v="June"/>
    <n v="4"/>
    <n v="26316"/>
  </r>
  <r>
    <x v="458"/>
    <s v="Arjun Kapoor"/>
    <n v="86"/>
    <s v="Female"/>
    <s v="Pneumonia"/>
    <x v="4"/>
    <d v="2025-10-07T00:00:00"/>
    <d v="2025-10-14T00:00:00"/>
    <s v="October"/>
    <n v="7"/>
    <n v="67620"/>
  </r>
  <r>
    <x v="459"/>
    <s v="Rahul Kapoor"/>
    <n v="27"/>
    <s v="Male"/>
    <s v="Migraine"/>
    <x v="2"/>
    <d v="2025-11-02T00:00:00"/>
    <d v="2025-11-06T00:00:00"/>
    <s v="November"/>
    <n v="4"/>
    <n v="28984"/>
  </r>
  <r>
    <x v="460"/>
    <s v="Rohit Khan"/>
    <n v="47"/>
    <s v="Male"/>
    <s v="Migraine"/>
    <x v="7"/>
    <d v="2025-07-11T00:00:00"/>
    <d v="2025-07-16T00:00:00"/>
    <s v="July"/>
    <n v="5"/>
    <n v="25390"/>
  </r>
  <r>
    <x v="461"/>
    <s v="Zara Gupta"/>
    <n v="72"/>
    <s v="Male"/>
    <s v="Heart Disease"/>
    <x v="4"/>
    <d v="2025-10-29T00:00:00"/>
    <d v="2025-10-31T00:00:00"/>
    <s v="October"/>
    <n v="2"/>
    <n v="17000"/>
  </r>
  <r>
    <x v="462"/>
    <s v="Vikas Malik"/>
    <n v="9"/>
    <s v="Female"/>
    <s v="Asthma"/>
    <x v="3"/>
    <d v="2025-08-25T00:00:00"/>
    <d v="2025-08-27T00:00:00"/>
    <s v="August"/>
    <n v="2"/>
    <n v="10030"/>
  </r>
  <r>
    <x v="463"/>
    <s v="Anita Ali"/>
    <n v="23"/>
    <s v="Female"/>
    <s v="Covid-19"/>
    <x v="6"/>
    <d v="2025-03-10T00:00:00"/>
    <d v="2025-03-14T00:00:00"/>
    <s v="March"/>
    <n v="4"/>
    <n v="21420"/>
  </r>
  <r>
    <x v="464"/>
    <s v="Sara Malik"/>
    <n v="76"/>
    <s v="Female"/>
    <s v="Dengue"/>
    <x v="6"/>
    <d v="2025-11-16T00:00:00"/>
    <d v="2025-11-23T00:00:00"/>
    <s v="November"/>
    <n v="7"/>
    <n v="45899"/>
  </r>
  <r>
    <x v="465"/>
    <s v="Priya Kapoor"/>
    <n v="27"/>
    <s v="Male"/>
    <s v="Asthma"/>
    <x v="2"/>
    <d v="2025-01-23T00:00:00"/>
    <d v="2025-02-02T00:00:00"/>
    <s v="January"/>
    <n v="10"/>
    <n v="92630"/>
  </r>
  <r>
    <x v="466"/>
    <s v="Pooja Khan"/>
    <n v="55"/>
    <s v="Female"/>
    <s v="Hypertension"/>
    <x v="6"/>
    <d v="2025-03-30T00:00:00"/>
    <d v="2025-04-08T00:00:00"/>
    <s v="March"/>
    <n v="9"/>
    <n v="74151"/>
  </r>
  <r>
    <x v="467"/>
    <s v="Anita Gupta"/>
    <n v="73"/>
    <s v="Male"/>
    <s v="Diabetes"/>
    <x v="2"/>
    <d v="2025-04-05T00:00:00"/>
    <d v="2025-04-19T00:00:00"/>
    <s v="April"/>
    <n v="14"/>
    <n v="57064"/>
  </r>
  <r>
    <x v="468"/>
    <s v="Pooja Malik"/>
    <n v="49"/>
    <s v="Female"/>
    <s v="Covid-19"/>
    <x v="7"/>
    <d v="2025-09-25T00:00:00"/>
    <d v="2025-10-05T00:00:00"/>
    <s v="September"/>
    <n v="10"/>
    <n v="105610"/>
  </r>
  <r>
    <x v="469"/>
    <s v="Zara Kumar"/>
    <n v="36"/>
    <s v="Male"/>
    <s v="Heart Disease"/>
    <x v="7"/>
    <d v="2025-08-13T00:00:00"/>
    <d v="2025-08-23T00:00:00"/>
    <s v="August"/>
    <n v="10"/>
    <n v="73210"/>
  </r>
  <r>
    <x v="470"/>
    <s v="Vikas Singh"/>
    <n v="19"/>
    <s v="Female"/>
    <s v="Heart Disease"/>
    <x v="7"/>
    <d v="2025-10-31T00:00:00"/>
    <d v="2025-11-02T00:00:00"/>
    <s v="October"/>
    <n v="2"/>
    <n v="13854"/>
  </r>
  <r>
    <x v="471"/>
    <s v="Mehak Khan"/>
    <n v="16"/>
    <s v="Male"/>
    <s v="Fever"/>
    <x v="2"/>
    <d v="2025-01-14T00:00:00"/>
    <d v="2025-01-20T00:00:00"/>
    <s v="January"/>
    <n v="6"/>
    <n v="31194"/>
  </r>
  <r>
    <x v="472"/>
    <s v="Aman Rather"/>
    <n v="43"/>
    <s v="Female"/>
    <s v="Heart Disease"/>
    <x v="0"/>
    <d v="2025-04-29T00:00:00"/>
    <d v="2025-04-30T00:00:00"/>
    <s v="April"/>
    <n v="1"/>
    <n v="8242"/>
  </r>
  <r>
    <x v="473"/>
    <s v="Neha Gupta"/>
    <n v="5"/>
    <s v="Female"/>
    <s v="Heart Disease"/>
    <x v="5"/>
    <d v="2025-08-19T00:00:00"/>
    <d v="2025-08-28T00:00:00"/>
    <s v="August"/>
    <n v="9"/>
    <n v="86616"/>
  </r>
  <r>
    <x v="474"/>
    <s v="Vikas Gupta"/>
    <n v="66"/>
    <s v="Male"/>
    <s v="Migraine"/>
    <x v="1"/>
    <d v="2025-10-06T00:00:00"/>
    <d v="2025-10-12T00:00:00"/>
    <s v="October"/>
    <n v="6"/>
    <n v="35304"/>
  </r>
  <r>
    <x v="475"/>
    <s v="Pooja Kumar"/>
    <n v="42"/>
    <s v="Female"/>
    <s v="Kidney Stone"/>
    <x v="7"/>
    <d v="2025-12-01T00:00:00"/>
    <d v="2025-12-06T00:00:00"/>
    <s v="December"/>
    <n v="5"/>
    <n v="35275"/>
  </r>
  <r>
    <x v="476"/>
    <s v="Priya Kumar"/>
    <n v="16"/>
    <s v="Female"/>
    <s v="Kidney Stone"/>
    <x v="2"/>
    <d v="2025-08-25T00:00:00"/>
    <d v="2025-09-03T00:00:00"/>
    <s v="August"/>
    <n v="9"/>
    <n v="92979"/>
  </r>
  <r>
    <x v="477"/>
    <s v="Pooja Rather"/>
    <n v="75"/>
    <s v="Female"/>
    <s v="Kidney Stone"/>
    <x v="3"/>
    <d v="2025-12-23T00:00:00"/>
    <d v="2026-01-03T00:00:00"/>
    <s v="December"/>
    <n v="11"/>
    <n v="77704"/>
  </r>
  <r>
    <x v="478"/>
    <s v="Pooja Rather"/>
    <n v="9"/>
    <s v="Female"/>
    <s v="Migraine"/>
    <x v="4"/>
    <d v="2025-01-30T00:00:00"/>
    <d v="2025-02-03T00:00:00"/>
    <s v="January"/>
    <n v="4"/>
    <n v="38200"/>
  </r>
  <r>
    <x v="479"/>
    <s v="Rahul Ali"/>
    <n v="22"/>
    <s v="Female"/>
    <s v="Covid-19"/>
    <x v="4"/>
    <d v="2025-10-19T00:00:00"/>
    <d v="2025-11-02T00:00:00"/>
    <s v="October"/>
    <n v="14"/>
    <n v="70168"/>
  </r>
  <r>
    <x v="480"/>
    <s v="Priya Malik"/>
    <n v="51"/>
    <s v="Female"/>
    <s v="Pneumonia"/>
    <x v="0"/>
    <d v="2025-03-13T00:00:00"/>
    <d v="2025-03-18T00:00:00"/>
    <s v="March"/>
    <n v="5"/>
    <n v="29285"/>
  </r>
  <r>
    <x v="481"/>
    <s v="Adil Rather"/>
    <n v="67"/>
    <s v="Female"/>
    <s v="Asthma"/>
    <x v="1"/>
    <d v="2025-12-31T00:00:00"/>
    <d v="2026-01-15T00:00:00"/>
    <s v="December"/>
    <n v="15"/>
    <n v="139725"/>
  </r>
  <r>
    <x v="482"/>
    <s v="Priya Gupta"/>
    <n v="57"/>
    <s v="Female"/>
    <s v="Asthma"/>
    <x v="5"/>
    <d v="2025-01-27T00:00:00"/>
    <d v="2025-01-31T00:00:00"/>
    <s v="January"/>
    <n v="4"/>
    <n v="46588"/>
  </r>
  <r>
    <x v="483"/>
    <s v="Rahul Khan"/>
    <n v="90"/>
    <s v="Female"/>
    <s v="Kidney Stone"/>
    <x v="3"/>
    <d v="2025-07-06T00:00:00"/>
    <d v="2025-07-18T00:00:00"/>
    <s v="July"/>
    <n v="12"/>
    <n v="121368"/>
  </r>
  <r>
    <x v="484"/>
    <s v="Imran Kapoor"/>
    <n v="49"/>
    <s v="Male"/>
    <s v="Dengue"/>
    <x v="3"/>
    <d v="2025-01-27T00:00:00"/>
    <d v="2025-02-03T00:00:00"/>
    <s v="January"/>
    <n v="7"/>
    <n v="66766"/>
  </r>
  <r>
    <x v="485"/>
    <s v="Sara Gupta"/>
    <n v="6"/>
    <s v="Female"/>
    <s v="Hypertension"/>
    <x v="5"/>
    <d v="2025-10-14T00:00:00"/>
    <d v="2025-10-23T00:00:00"/>
    <s v="October"/>
    <n v="9"/>
    <n v="46161"/>
  </r>
  <r>
    <x v="486"/>
    <s v="Arjun Kumar"/>
    <n v="28"/>
    <s v="Female"/>
    <s v="Asthma"/>
    <x v="1"/>
    <d v="2025-02-21T00:00:00"/>
    <d v="2025-02-24T00:00:00"/>
    <s v="February"/>
    <n v="3"/>
    <n v="18201"/>
  </r>
  <r>
    <x v="487"/>
    <s v="Aman Kumar"/>
    <n v="57"/>
    <s v="Male"/>
    <s v="Heart Disease"/>
    <x v="7"/>
    <d v="2025-11-09T00:00:00"/>
    <d v="2025-11-24T00:00:00"/>
    <s v="November"/>
    <n v="15"/>
    <n v="137100"/>
  </r>
  <r>
    <x v="488"/>
    <s v="Pooja Rather"/>
    <n v="46"/>
    <s v="Female"/>
    <s v="Migraine"/>
    <x v="5"/>
    <d v="2025-08-10T00:00:00"/>
    <d v="2025-08-13T00:00:00"/>
    <s v="August"/>
    <n v="3"/>
    <n v="29097"/>
  </r>
  <r>
    <x v="489"/>
    <s v="Kiran Kumar"/>
    <n v="78"/>
    <s v="Female"/>
    <s v="Diabetes"/>
    <x v="0"/>
    <d v="2025-03-14T00:00:00"/>
    <d v="2025-03-16T00:00:00"/>
    <s v="March"/>
    <n v="2"/>
    <n v="8942"/>
  </r>
  <r>
    <x v="490"/>
    <s v="Anita Malik"/>
    <n v="55"/>
    <s v="Female"/>
    <s v="Migraine"/>
    <x v="5"/>
    <d v="2025-04-28T00:00:00"/>
    <d v="2025-05-02T00:00:00"/>
    <s v="April"/>
    <n v="4"/>
    <n v="35572"/>
  </r>
  <r>
    <x v="491"/>
    <s v="Aman Kumar"/>
    <n v="20"/>
    <s v="Male"/>
    <s v="Pneumonia"/>
    <x v="4"/>
    <d v="2025-11-17T00:00:00"/>
    <d v="2025-11-20T00:00:00"/>
    <s v="November"/>
    <n v="3"/>
    <n v="19905"/>
  </r>
  <r>
    <x v="492"/>
    <s v="Anita Kapoor"/>
    <n v="23"/>
    <s v="Male"/>
    <s v="Fever"/>
    <x v="0"/>
    <d v="2025-01-23T00:00:00"/>
    <d v="2025-01-26T00:00:00"/>
    <s v="January"/>
    <n v="3"/>
    <n v="15570"/>
  </r>
  <r>
    <x v="493"/>
    <s v="Sara Verma"/>
    <n v="41"/>
    <s v="Female"/>
    <s v="Pneumonia"/>
    <x v="6"/>
    <d v="2025-09-25T00:00:00"/>
    <d v="2025-10-07T00:00:00"/>
    <s v="September"/>
    <n v="12"/>
    <n v="75240"/>
  </r>
  <r>
    <x v="494"/>
    <s v="Zara Rather"/>
    <n v="69"/>
    <s v="Female"/>
    <s v="Diabetes"/>
    <x v="4"/>
    <d v="2025-09-05T00:00:00"/>
    <d v="2025-09-13T00:00:00"/>
    <s v="September"/>
    <n v="8"/>
    <n v="73768"/>
  </r>
  <r>
    <x v="495"/>
    <s v="Arjun Gupta"/>
    <n v="8"/>
    <s v="Female"/>
    <s v="Fever"/>
    <x v="7"/>
    <d v="2025-11-15T00:00:00"/>
    <d v="2025-11-27T00:00:00"/>
    <s v="November"/>
    <n v="12"/>
    <n v="73284"/>
  </r>
  <r>
    <x v="496"/>
    <s v="Pooja Rather"/>
    <n v="69"/>
    <s v="Female"/>
    <s v="Asthma"/>
    <x v="3"/>
    <d v="2025-12-20T00:00:00"/>
    <d v="2026-01-02T00:00:00"/>
    <s v="December"/>
    <n v="13"/>
    <n v="114998"/>
  </r>
  <r>
    <x v="497"/>
    <s v="Priya Malik"/>
    <n v="43"/>
    <s v="Male"/>
    <s v="Pneumonia"/>
    <x v="7"/>
    <d v="2025-08-26T00:00:00"/>
    <d v="2025-09-05T00:00:00"/>
    <s v="August"/>
    <n v="10"/>
    <n v="114440"/>
  </r>
  <r>
    <x v="498"/>
    <s v="Adil Verma"/>
    <n v="26"/>
    <s v="Male"/>
    <s v="Diabetes"/>
    <x v="4"/>
    <d v="2025-08-18T00:00:00"/>
    <d v="2025-08-19T00:00:00"/>
    <s v="August"/>
    <n v="1"/>
    <n v="6054"/>
  </r>
  <r>
    <x v="499"/>
    <s v="Vikas Verma"/>
    <n v="36"/>
    <s v="Male"/>
    <s v="Diabetes"/>
    <x v="0"/>
    <d v="2025-12-10T00:00:00"/>
    <d v="2025-12-19T00:00:00"/>
    <s v="December"/>
    <n v="9"/>
    <n v="87228"/>
  </r>
  <r>
    <x v="500"/>
    <s v="Priya Singh"/>
    <n v="84"/>
    <s v="Female"/>
    <s v="Covid-19"/>
    <x v="4"/>
    <d v="2025-02-17T00:00:00"/>
    <d v="2025-02-20T00:00:00"/>
    <s v="February"/>
    <n v="3"/>
    <n v="24471"/>
  </r>
  <r>
    <x v="501"/>
    <s v="Kiran Singh"/>
    <n v="54"/>
    <s v="Male"/>
    <s v="Fever"/>
    <x v="0"/>
    <d v="2025-09-18T00:00:00"/>
    <d v="2025-09-23T00:00:00"/>
    <s v="September"/>
    <n v="5"/>
    <n v="29255"/>
  </r>
  <r>
    <x v="502"/>
    <s v="Rohit Singh"/>
    <n v="27"/>
    <s v="Female"/>
    <s v="Asthma"/>
    <x v="0"/>
    <d v="2025-09-05T00:00:00"/>
    <d v="2025-09-15T00:00:00"/>
    <s v="September"/>
    <n v="10"/>
    <n v="81910"/>
  </r>
  <r>
    <x v="503"/>
    <s v="Kiran Gupta"/>
    <n v="36"/>
    <s v="Female"/>
    <s v="Pneumonia"/>
    <x v="6"/>
    <d v="2025-09-14T00:00:00"/>
    <d v="2025-09-27T00:00:00"/>
    <s v="September"/>
    <n v="13"/>
    <n v="84539"/>
  </r>
  <r>
    <x v="504"/>
    <s v="Priya Sharma"/>
    <n v="42"/>
    <s v="Male"/>
    <s v="Dengue"/>
    <x v="1"/>
    <d v="2025-10-27T00:00:00"/>
    <d v="2025-11-04T00:00:00"/>
    <s v="October"/>
    <n v="8"/>
    <n v="66864"/>
  </r>
  <r>
    <x v="505"/>
    <s v="Anita Sharma"/>
    <n v="16"/>
    <s v="Female"/>
    <s v="Heart Disease"/>
    <x v="4"/>
    <d v="2025-07-08T00:00:00"/>
    <d v="2025-07-16T00:00:00"/>
    <s v="July"/>
    <n v="8"/>
    <n v="56328"/>
  </r>
  <r>
    <x v="506"/>
    <s v="Kiran Gupta"/>
    <n v="41"/>
    <s v="Female"/>
    <s v="Migraine"/>
    <x v="4"/>
    <d v="2025-12-27T00:00:00"/>
    <d v="2025-12-28T00:00:00"/>
    <s v="December"/>
    <n v="1"/>
    <n v="11144"/>
  </r>
  <r>
    <x v="507"/>
    <s v="Rohit Ali"/>
    <n v="90"/>
    <s v="Male"/>
    <s v="Diabetes"/>
    <x v="4"/>
    <d v="2025-10-24T00:00:00"/>
    <d v="2025-10-29T00:00:00"/>
    <s v="October"/>
    <n v="5"/>
    <n v="47025"/>
  </r>
  <r>
    <x v="508"/>
    <s v="Adil Khan"/>
    <n v="68"/>
    <s v="Male"/>
    <s v="Dengue"/>
    <x v="5"/>
    <d v="2025-03-14T00:00:00"/>
    <d v="2025-03-19T00:00:00"/>
    <s v="March"/>
    <n v="5"/>
    <n v="46510"/>
  </r>
  <r>
    <x v="509"/>
    <s v="Pooja Ali"/>
    <n v="78"/>
    <s v="Female"/>
    <s v="Migraine"/>
    <x v="3"/>
    <d v="2025-03-23T00:00:00"/>
    <d v="2025-04-01T00:00:00"/>
    <s v="March"/>
    <n v="9"/>
    <n v="64926"/>
  </r>
  <r>
    <x v="510"/>
    <s v="Mehak Sharma"/>
    <n v="62"/>
    <s v="Female"/>
    <s v="Dengue"/>
    <x v="6"/>
    <d v="2025-12-11T00:00:00"/>
    <d v="2025-12-21T00:00:00"/>
    <s v="December"/>
    <n v="10"/>
    <n v="49270"/>
  </r>
  <r>
    <x v="511"/>
    <s v="Imran Ali"/>
    <n v="88"/>
    <s v="Female"/>
    <s v="Dengue"/>
    <x v="6"/>
    <d v="2025-06-01T00:00:00"/>
    <d v="2025-06-16T00:00:00"/>
    <s v="June"/>
    <n v="15"/>
    <n v="79035"/>
  </r>
  <r>
    <x v="512"/>
    <s v="Imran Rather"/>
    <n v="41"/>
    <s v="Male"/>
    <s v="Migraine"/>
    <x v="6"/>
    <d v="2025-02-15T00:00:00"/>
    <d v="2025-02-27T00:00:00"/>
    <s v="February"/>
    <n v="12"/>
    <n v="99444"/>
  </r>
  <r>
    <x v="513"/>
    <s v="Vikas Ali"/>
    <n v="90"/>
    <s v="Male"/>
    <s v="Hypertension"/>
    <x v="7"/>
    <d v="2025-09-29T00:00:00"/>
    <d v="2025-10-04T00:00:00"/>
    <s v="September"/>
    <n v="5"/>
    <n v="56180"/>
  </r>
  <r>
    <x v="514"/>
    <s v="Rohit Ali"/>
    <n v="26"/>
    <s v="Female"/>
    <s v="Asthma"/>
    <x v="0"/>
    <d v="2025-11-10T00:00:00"/>
    <d v="2025-11-22T00:00:00"/>
    <s v="November"/>
    <n v="12"/>
    <n v="119316"/>
  </r>
  <r>
    <x v="515"/>
    <s v="Neha Rather"/>
    <n v="44"/>
    <s v="Male"/>
    <s v="Fever"/>
    <x v="3"/>
    <d v="2025-01-18T00:00:00"/>
    <d v="2025-01-26T00:00:00"/>
    <s v="January"/>
    <n v="8"/>
    <n v="69368"/>
  </r>
  <r>
    <x v="516"/>
    <s v="Adil Kapoor"/>
    <n v="36"/>
    <s v="Female"/>
    <s v="Hypertension"/>
    <x v="5"/>
    <d v="2025-09-21T00:00:00"/>
    <d v="2025-09-27T00:00:00"/>
    <s v="September"/>
    <n v="6"/>
    <n v="50142"/>
  </r>
  <r>
    <x v="517"/>
    <s v="Imran Kumar"/>
    <n v="57"/>
    <s v="Male"/>
    <s v="Migraine"/>
    <x v="4"/>
    <d v="2025-07-18T00:00:00"/>
    <d v="2025-07-19T00:00:00"/>
    <s v="July"/>
    <n v="1"/>
    <n v="4497"/>
  </r>
  <r>
    <x v="518"/>
    <s v="Anita Gupta"/>
    <n v="43"/>
    <s v="Male"/>
    <s v="Hypertension"/>
    <x v="3"/>
    <d v="2025-11-26T00:00:00"/>
    <d v="2025-12-11T00:00:00"/>
    <s v="November"/>
    <n v="15"/>
    <n v="115590"/>
  </r>
  <r>
    <x v="519"/>
    <s v="Rohit Ali"/>
    <n v="61"/>
    <s v="Female"/>
    <s v="Kidney Stone"/>
    <x v="6"/>
    <d v="2025-12-24T00:00:00"/>
    <d v="2026-01-04T00:00:00"/>
    <s v="December"/>
    <n v="11"/>
    <n v="90563"/>
  </r>
  <r>
    <x v="520"/>
    <s v="Arjun Ali"/>
    <n v="66"/>
    <s v="Female"/>
    <s v="Kidney Stone"/>
    <x v="4"/>
    <d v="2025-01-21T00:00:00"/>
    <d v="2025-01-28T00:00:00"/>
    <s v="January"/>
    <n v="7"/>
    <n v="38276"/>
  </r>
  <r>
    <x v="521"/>
    <s v="Rohit Khan"/>
    <n v="41"/>
    <s v="Male"/>
    <s v="Asthma"/>
    <x v="3"/>
    <d v="2025-01-29T00:00:00"/>
    <d v="2025-01-31T00:00:00"/>
    <s v="January"/>
    <n v="2"/>
    <n v="18364"/>
  </r>
  <r>
    <x v="522"/>
    <s v="Rohit Kapoor"/>
    <n v="40"/>
    <s v="Male"/>
    <s v="Asthma"/>
    <x v="5"/>
    <d v="2025-06-29T00:00:00"/>
    <d v="2025-07-12T00:00:00"/>
    <s v="June"/>
    <n v="13"/>
    <n v="153179"/>
  </r>
  <r>
    <x v="523"/>
    <s v="Imran Rather"/>
    <n v="35"/>
    <s v="Male"/>
    <s v="Dengue"/>
    <x v="6"/>
    <d v="2025-11-22T00:00:00"/>
    <d v="2025-12-01T00:00:00"/>
    <s v="November"/>
    <n v="9"/>
    <n v="83340"/>
  </r>
  <r>
    <x v="524"/>
    <s v="Arjun Malik"/>
    <n v="49"/>
    <s v="Male"/>
    <s v="Fever"/>
    <x v="0"/>
    <d v="2025-02-27T00:00:00"/>
    <d v="2025-03-05T00:00:00"/>
    <s v="February"/>
    <n v="6"/>
    <n v="57120"/>
  </r>
  <r>
    <x v="525"/>
    <s v="Aman Singh"/>
    <n v="43"/>
    <s v="Male"/>
    <s v="Pneumonia"/>
    <x v="1"/>
    <d v="2025-02-17T00:00:00"/>
    <d v="2025-02-26T00:00:00"/>
    <s v="February"/>
    <n v="9"/>
    <n v="78777"/>
  </r>
  <r>
    <x v="526"/>
    <s v="Vikas Gupta"/>
    <n v="64"/>
    <s v="Female"/>
    <s v="Fever"/>
    <x v="7"/>
    <d v="2025-07-21T00:00:00"/>
    <d v="2025-07-23T00:00:00"/>
    <s v="July"/>
    <n v="2"/>
    <n v="10104"/>
  </r>
  <r>
    <x v="527"/>
    <s v="Neha Sharma"/>
    <n v="72"/>
    <s v="Male"/>
    <s v="Migraine"/>
    <x v="2"/>
    <d v="2025-01-11T00:00:00"/>
    <d v="2025-01-25T00:00:00"/>
    <s v="January"/>
    <n v="14"/>
    <n v="158186"/>
  </r>
  <r>
    <x v="528"/>
    <s v="Priya Verma"/>
    <n v="21"/>
    <s v="Male"/>
    <s v="Covid-19"/>
    <x v="7"/>
    <d v="2025-06-10T00:00:00"/>
    <d v="2025-06-19T00:00:00"/>
    <s v="June"/>
    <n v="9"/>
    <n v="78210"/>
  </r>
  <r>
    <x v="529"/>
    <s v="Priya Sharma"/>
    <n v="45"/>
    <s v="Male"/>
    <s v="Hypertension"/>
    <x v="1"/>
    <d v="2025-03-28T00:00:00"/>
    <d v="2025-04-07T00:00:00"/>
    <s v="March"/>
    <n v="10"/>
    <n v="96320"/>
  </r>
  <r>
    <x v="530"/>
    <s v="Anita Verma"/>
    <n v="87"/>
    <s v="Male"/>
    <s v="Diabetes"/>
    <x v="4"/>
    <d v="2025-06-22T00:00:00"/>
    <d v="2025-07-03T00:00:00"/>
    <s v="June"/>
    <n v="11"/>
    <n v="52228"/>
  </r>
  <r>
    <x v="531"/>
    <s v="Priya Gupta"/>
    <n v="12"/>
    <s v="Female"/>
    <s v="Asthma"/>
    <x v="5"/>
    <d v="2025-08-29T00:00:00"/>
    <d v="2025-09-05T00:00:00"/>
    <s v="August"/>
    <n v="7"/>
    <n v="70182"/>
  </r>
  <r>
    <x v="532"/>
    <s v="Arjun Ali"/>
    <n v="73"/>
    <s v="Female"/>
    <s v="Fever"/>
    <x v="0"/>
    <d v="2025-05-10T00:00:00"/>
    <d v="2025-05-18T00:00:00"/>
    <s v="May"/>
    <n v="8"/>
    <n v="70208"/>
  </r>
  <r>
    <x v="533"/>
    <s v="Priya Malik"/>
    <n v="35"/>
    <s v="Female"/>
    <s v="Fever"/>
    <x v="0"/>
    <d v="2025-09-06T00:00:00"/>
    <d v="2025-09-13T00:00:00"/>
    <s v="September"/>
    <n v="7"/>
    <n v="45549"/>
  </r>
  <r>
    <x v="534"/>
    <s v="Vikas Rather"/>
    <n v="30"/>
    <s v="Male"/>
    <s v="Kidney Stone"/>
    <x v="5"/>
    <d v="2025-01-24T00:00:00"/>
    <d v="2025-02-04T00:00:00"/>
    <s v="January"/>
    <n v="11"/>
    <n v="122815"/>
  </r>
  <r>
    <x v="535"/>
    <s v="Arjun Verma"/>
    <n v="78"/>
    <s v="Female"/>
    <s v="Heart Disease"/>
    <x v="3"/>
    <d v="2025-05-25T00:00:00"/>
    <d v="2025-06-01T00:00:00"/>
    <s v="May"/>
    <n v="7"/>
    <n v="67228"/>
  </r>
  <r>
    <x v="536"/>
    <s v="Neha Verma"/>
    <n v="87"/>
    <s v="Female"/>
    <s v="Covid-19"/>
    <x v="1"/>
    <d v="2025-01-31T00:00:00"/>
    <d v="2025-02-13T00:00:00"/>
    <s v="January"/>
    <n v="13"/>
    <n v="127686"/>
  </r>
  <r>
    <x v="537"/>
    <s v="Zara Malik"/>
    <n v="47"/>
    <s v="Male"/>
    <s v="Dengue"/>
    <x v="0"/>
    <d v="2025-01-29T00:00:00"/>
    <d v="2025-02-07T00:00:00"/>
    <s v="January"/>
    <n v="9"/>
    <n v="69417"/>
  </r>
  <r>
    <x v="538"/>
    <s v="Adil Gupta"/>
    <n v="51"/>
    <s v="Male"/>
    <s v="Hypertension"/>
    <x v="3"/>
    <d v="2025-12-22T00:00:00"/>
    <d v="2025-12-29T00:00:00"/>
    <s v="December"/>
    <n v="7"/>
    <n v="42833"/>
  </r>
  <r>
    <x v="539"/>
    <s v="Adil Kumar"/>
    <n v="45"/>
    <s v="Female"/>
    <s v="Kidney Stone"/>
    <x v="2"/>
    <d v="2025-04-09T00:00:00"/>
    <d v="2025-04-13T00:00:00"/>
    <s v="April"/>
    <n v="4"/>
    <n v="33140"/>
  </r>
  <r>
    <x v="540"/>
    <s v="Rohit Sharma"/>
    <n v="90"/>
    <s v="Female"/>
    <s v="Heart Disease"/>
    <x v="1"/>
    <d v="2025-02-16T00:00:00"/>
    <d v="2025-02-25T00:00:00"/>
    <s v="February"/>
    <n v="9"/>
    <n v="83871"/>
  </r>
  <r>
    <x v="541"/>
    <s v="Mehak Singh"/>
    <n v="65"/>
    <s v="Male"/>
    <s v="Covid-19"/>
    <x v="1"/>
    <d v="2025-07-18T00:00:00"/>
    <d v="2025-07-28T00:00:00"/>
    <s v="July"/>
    <n v="10"/>
    <n v="76440"/>
  </r>
  <r>
    <x v="542"/>
    <s v="Sara Gupta"/>
    <n v="18"/>
    <s v="Male"/>
    <s v="Dengue"/>
    <x v="3"/>
    <d v="2025-11-26T00:00:00"/>
    <d v="2025-11-27T00:00:00"/>
    <s v="November"/>
    <n v="1"/>
    <n v="9170"/>
  </r>
  <r>
    <x v="543"/>
    <s v="Imran Rather"/>
    <n v="33"/>
    <s v="Female"/>
    <s v="Diabetes"/>
    <x v="1"/>
    <d v="2025-02-15T00:00:00"/>
    <d v="2025-02-18T00:00:00"/>
    <s v="February"/>
    <n v="3"/>
    <n v="33321"/>
  </r>
  <r>
    <x v="544"/>
    <s v="Arjun Malik"/>
    <n v="76"/>
    <s v="Male"/>
    <s v="Hypertension"/>
    <x v="3"/>
    <d v="2025-04-04T00:00:00"/>
    <d v="2025-04-11T00:00:00"/>
    <s v="April"/>
    <n v="7"/>
    <n v="51142"/>
  </r>
  <r>
    <x v="545"/>
    <s v="Adil Khan"/>
    <n v="3"/>
    <s v="Male"/>
    <s v="Pneumonia"/>
    <x v="7"/>
    <d v="2025-12-15T00:00:00"/>
    <d v="2025-12-17T00:00:00"/>
    <s v="December"/>
    <n v="2"/>
    <n v="18772"/>
  </r>
  <r>
    <x v="546"/>
    <s v="Pooja Ali"/>
    <n v="18"/>
    <s v="Male"/>
    <s v="Fever"/>
    <x v="1"/>
    <d v="2025-05-27T00:00:00"/>
    <d v="2025-06-06T00:00:00"/>
    <s v="May"/>
    <n v="10"/>
    <n v="97130"/>
  </r>
  <r>
    <x v="547"/>
    <s v="Anita Kumar"/>
    <n v="72"/>
    <s v="Female"/>
    <s v="Dengue"/>
    <x v="2"/>
    <d v="2025-05-16T00:00:00"/>
    <d v="2025-05-20T00:00:00"/>
    <s v="May"/>
    <n v="4"/>
    <n v="29464"/>
  </r>
  <r>
    <x v="548"/>
    <s v="Rahul Gupta"/>
    <n v="26"/>
    <s v="Male"/>
    <s v="Asthma"/>
    <x v="7"/>
    <d v="2025-01-27T00:00:00"/>
    <d v="2025-02-01T00:00:00"/>
    <s v="January"/>
    <n v="5"/>
    <n v="41480"/>
  </r>
  <r>
    <x v="549"/>
    <s v="Adil Kapoor"/>
    <n v="82"/>
    <s v="Female"/>
    <s v="Heart Disease"/>
    <x v="2"/>
    <d v="2025-05-29T00:00:00"/>
    <d v="2025-06-03T00:00:00"/>
    <s v="May"/>
    <n v="5"/>
    <n v="38205"/>
  </r>
  <r>
    <x v="550"/>
    <s v="Aman Singh"/>
    <n v="18"/>
    <s v="Female"/>
    <s v="Migraine"/>
    <x v="1"/>
    <d v="2025-04-09T00:00:00"/>
    <d v="2025-04-15T00:00:00"/>
    <s v="April"/>
    <n v="6"/>
    <n v="69876"/>
  </r>
  <r>
    <x v="551"/>
    <s v="Priya Singh"/>
    <n v="1"/>
    <s v="Male"/>
    <s v="Pneumonia"/>
    <x v="7"/>
    <d v="2025-04-15T00:00:00"/>
    <d v="2025-04-27T00:00:00"/>
    <s v="April"/>
    <n v="12"/>
    <n v="128760"/>
  </r>
  <r>
    <x v="552"/>
    <s v="Kiran Singh"/>
    <n v="74"/>
    <s v="Male"/>
    <s v="Pneumonia"/>
    <x v="3"/>
    <d v="2025-04-07T00:00:00"/>
    <d v="2025-04-20T00:00:00"/>
    <s v="April"/>
    <n v="13"/>
    <n v="63960"/>
  </r>
  <r>
    <x v="553"/>
    <s v="Kiran Kapoor"/>
    <n v="8"/>
    <s v="Male"/>
    <s v="Hypertension"/>
    <x v="2"/>
    <d v="2025-02-05T00:00:00"/>
    <d v="2025-02-14T00:00:00"/>
    <s v="February"/>
    <n v="9"/>
    <n v="94833"/>
  </r>
  <r>
    <x v="554"/>
    <s v="Rohit Kumar"/>
    <n v="71"/>
    <s v="Female"/>
    <s v="Asthma"/>
    <x v="6"/>
    <d v="2025-05-02T00:00:00"/>
    <d v="2025-05-08T00:00:00"/>
    <s v="May"/>
    <n v="6"/>
    <n v="35988"/>
  </r>
  <r>
    <x v="555"/>
    <s v="Pooja Singh"/>
    <n v="6"/>
    <s v="Female"/>
    <s v="Asthma"/>
    <x v="7"/>
    <d v="2025-01-27T00:00:00"/>
    <d v="2025-01-28T00:00:00"/>
    <s v="January"/>
    <n v="1"/>
    <n v="11603"/>
  </r>
  <r>
    <x v="556"/>
    <s v="Kiran Ali"/>
    <n v="7"/>
    <s v="Female"/>
    <s v="Migraine"/>
    <x v="7"/>
    <d v="2025-09-23T00:00:00"/>
    <d v="2025-10-05T00:00:00"/>
    <s v="September"/>
    <n v="12"/>
    <n v="56556"/>
  </r>
  <r>
    <x v="557"/>
    <s v="Rahul Ali"/>
    <n v="69"/>
    <s v="Male"/>
    <s v="Dengue"/>
    <x v="6"/>
    <d v="2025-01-05T00:00:00"/>
    <d v="2025-01-15T00:00:00"/>
    <s v="January"/>
    <n v="10"/>
    <n v="107890"/>
  </r>
  <r>
    <x v="558"/>
    <s v="Kiran Kumar"/>
    <n v="80"/>
    <s v="Female"/>
    <s v="Heart Disease"/>
    <x v="5"/>
    <d v="2025-10-18T00:00:00"/>
    <d v="2025-11-01T00:00:00"/>
    <s v="October"/>
    <n v="14"/>
    <n v="70420"/>
  </r>
  <r>
    <x v="559"/>
    <s v="Imran Verma"/>
    <n v="25"/>
    <s v="Male"/>
    <s v="Migraine"/>
    <x v="1"/>
    <d v="2025-05-23T00:00:00"/>
    <d v="2025-05-25T00:00:00"/>
    <s v="May"/>
    <n v="2"/>
    <n v="19402"/>
  </r>
  <r>
    <x v="560"/>
    <s v="Kiran Khan"/>
    <n v="48"/>
    <s v="Female"/>
    <s v="Heart Disease"/>
    <x v="4"/>
    <d v="2025-07-19T00:00:00"/>
    <d v="2025-07-24T00:00:00"/>
    <s v="July"/>
    <n v="5"/>
    <n v="33420"/>
  </r>
  <r>
    <x v="561"/>
    <s v="Kiran Malik"/>
    <n v="38"/>
    <s v="Male"/>
    <s v="Migraine"/>
    <x v="6"/>
    <d v="2025-07-23T00:00:00"/>
    <d v="2025-08-01T00:00:00"/>
    <s v="July"/>
    <n v="9"/>
    <n v="77445"/>
  </r>
  <r>
    <x v="562"/>
    <s v="Imran Verma"/>
    <n v="18"/>
    <s v="Male"/>
    <s v="Fever"/>
    <x v="7"/>
    <d v="2025-07-26T00:00:00"/>
    <d v="2025-08-01T00:00:00"/>
    <s v="July"/>
    <n v="6"/>
    <n v="26058"/>
  </r>
  <r>
    <x v="563"/>
    <s v="Neha Sharma"/>
    <n v="87"/>
    <s v="Male"/>
    <s v="Heart Disease"/>
    <x v="4"/>
    <d v="2025-03-14T00:00:00"/>
    <d v="2025-03-20T00:00:00"/>
    <s v="March"/>
    <n v="6"/>
    <n v="50238"/>
  </r>
  <r>
    <x v="564"/>
    <s v="Rahul Singh"/>
    <n v="75"/>
    <s v="Female"/>
    <s v="Pneumonia"/>
    <x v="4"/>
    <d v="2025-03-07T00:00:00"/>
    <d v="2025-03-18T00:00:00"/>
    <s v="March"/>
    <n v="11"/>
    <n v="68046"/>
  </r>
  <r>
    <x v="565"/>
    <s v="Sara Gupta"/>
    <n v="82"/>
    <s v="Male"/>
    <s v="Heart Disease"/>
    <x v="1"/>
    <d v="2025-12-29T00:00:00"/>
    <d v="2026-01-02T00:00:00"/>
    <s v="December"/>
    <n v="4"/>
    <n v="35052"/>
  </r>
  <r>
    <x v="566"/>
    <s v="Sara Sharma"/>
    <n v="29"/>
    <s v="Female"/>
    <s v="Pneumonia"/>
    <x v="3"/>
    <d v="2025-08-16T00:00:00"/>
    <d v="2025-08-27T00:00:00"/>
    <s v="August"/>
    <n v="11"/>
    <n v="104500"/>
  </r>
  <r>
    <x v="567"/>
    <s v="Neha Malik"/>
    <n v="27"/>
    <s v="Male"/>
    <s v="Pneumonia"/>
    <x v="2"/>
    <d v="2025-09-20T00:00:00"/>
    <d v="2025-10-03T00:00:00"/>
    <s v="September"/>
    <n v="13"/>
    <n v="69940"/>
  </r>
  <r>
    <x v="568"/>
    <s v="Rahul Khan"/>
    <n v="57"/>
    <s v="Female"/>
    <s v="Pneumonia"/>
    <x v="2"/>
    <d v="2025-05-28T00:00:00"/>
    <d v="2025-06-04T00:00:00"/>
    <s v="May"/>
    <n v="7"/>
    <n v="53011"/>
  </r>
  <r>
    <x v="569"/>
    <s v="Vikas Kapoor"/>
    <n v="64"/>
    <s v="Female"/>
    <s v="Pneumonia"/>
    <x v="2"/>
    <d v="2025-07-16T00:00:00"/>
    <d v="2025-07-19T00:00:00"/>
    <s v="July"/>
    <n v="3"/>
    <n v="32493"/>
  </r>
  <r>
    <x v="570"/>
    <s v="Imran Verma"/>
    <n v="63"/>
    <s v="Male"/>
    <s v="Covid-19"/>
    <x v="3"/>
    <d v="2025-05-23T00:00:00"/>
    <d v="2025-05-25T00:00:00"/>
    <s v="May"/>
    <n v="2"/>
    <n v="23140"/>
  </r>
  <r>
    <x v="571"/>
    <s v="Rohit Sharma"/>
    <n v="27"/>
    <s v="Male"/>
    <s v="Migraine"/>
    <x v="2"/>
    <d v="2025-06-30T00:00:00"/>
    <d v="2025-07-14T00:00:00"/>
    <s v="June"/>
    <n v="14"/>
    <n v="105392"/>
  </r>
  <r>
    <x v="572"/>
    <s v="Pooja Malik"/>
    <n v="19"/>
    <s v="Male"/>
    <s v="Dengue"/>
    <x v="3"/>
    <d v="2025-11-14T00:00:00"/>
    <d v="2025-11-15T00:00:00"/>
    <s v="November"/>
    <n v="1"/>
    <n v="8623"/>
  </r>
  <r>
    <x v="573"/>
    <s v="Aman Verma"/>
    <n v="13"/>
    <s v="Female"/>
    <s v="Dengue"/>
    <x v="0"/>
    <d v="2025-11-11T00:00:00"/>
    <d v="2025-11-19T00:00:00"/>
    <s v="November"/>
    <n v="8"/>
    <n v="43256"/>
  </r>
  <r>
    <x v="574"/>
    <s v="Zara Khan"/>
    <n v="23"/>
    <s v="Female"/>
    <s v="Pneumonia"/>
    <x v="2"/>
    <d v="2025-04-08T00:00:00"/>
    <d v="2025-04-20T00:00:00"/>
    <s v="April"/>
    <n v="12"/>
    <n v="68928"/>
  </r>
  <r>
    <x v="575"/>
    <s v="Adil Singh"/>
    <n v="43"/>
    <s v="Female"/>
    <s v="Migraine"/>
    <x v="0"/>
    <d v="2025-03-05T00:00:00"/>
    <d v="2025-03-13T00:00:00"/>
    <s v="March"/>
    <n v="8"/>
    <n v="94072"/>
  </r>
  <r>
    <x v="576"/>
    <s v="Adil Khan"/>
    <n v="65"/>
    <s v="Female"/>
    <s v="Diabetes"/>
    <x v="5"/>
    <d v="2025-12-21T00:00:00"/>
    <d v="2025-12-28T00:00:00"/>
    <s v="December"/>
    <n v="7"/>
    <n v="68271"/>
  </r>
  <r>
    <x v="577"/>
    <s v="Neha Singh"/>
    <n v="82"/>
    <s v="Male"/>
    <s v="Pneumonia"/>
    <x v="3"/>
    <d v="2025-11-21T00:00:00"/>
    <d v="2025-12-02T00:00:00"/>
    <s v="November"/>
    <n v="11"/>
    <n v="103917"/>
  </r>
  <r>
    <x v="578"/>
    <s v="Imran Singh"/>
    <n v="8"/>
    <s v="Male"/>
    <s v="Dengue"/>
    <x v="1"/>
    <d v="2025-06-18T00:00:00"/>
    <d v="2025-07-01T00:00:00"/>
    <s v="June"/>
    <n v="13"/>
    <n v="87295"/>
  </r>
  <r>
    <x v="579"/>
    <s v="Pooja Khan"/>
    <n v="65"/>
    <s v="Male"/>
    <s v="Hypertension"/>
    <x v="3"/>
    <d v="2025-08-02T00:00:00"/>
    <d v="2025-08-12T00:00:00"/>
    <s v="August"/>
    <n v="10"/>
    <n v="56800"/>
  </r>
  <r>
    <x v="580"/>
    <s v="Rohit Kumar"/>
    <n v="58"/>
    <s v="Male"/>
    <s v="Asthma"/>
    <x v="5"/>
    <d v="2025-06-18T00:00:00"/>
    <d v="2025-07-03T00:00:00"/>
    <s v="June"/>
    <n v="15"/>
    <n v="86625"/>
  </r>
  <r>
    <x v="581"/>
    <s v="Neha Verma"/>
    <n v="65"/>
    <s v="Female"/>
    <s v="Heart Disease"/>
    <x v="2"/>
    <d v="2025-02-25T00:00:00"/>
    <d v="2025-03-05T00:00:00"/>
    <s v="February"/>
    <n v="8"/>
    <n v="93264"/>
  </r>
  <r>
    <x v="582"/>
    <s v="Neha Khan"/>
    <n v="70"/>
    <s v="Male"/>
    <s v="Pneumonia"/>
    <x v="1"/>
    <d v="2025-06-10T00:00:00"/>
    <d v="2025-06-19T00:00:00"/>
    <s v="June"/>
    <n v="9"/>
    <n v="44496"/>
  </r>
  <r>
    <x v="583"/>
    <s v="Zara Singh"/>
    <n v="70"/>
    <s v="Male"/>
    <s v="Dengue"/>
    <x v="4"/>
    <d v="2025-04-05T00:00:00"/>
    <d v="2025-04-16T00:00:00"/>
    <s v="April"/>
    <n v="11"/>
    <n v="46156"/>
  </r>
  <r>
    <x v="584"/>
    <s v="Priya Kumar"/>
    <n v="28"/>
    <s v="Female"/>
    <s v="Asthma"/>
    <x v="4"/>
    <d v="2025-10-25T00:00:00"/>
    <d v="2025-10-28T00:00:00"/>
    <s v="October"/>
    <n v="3"/>
    <n v="31863"/>
  </r>
  <r>
    <x v="585"/>
    <s v="Neha Ali"/>
    <n v="89"/>
    <s v="Male"/>
    <s v="Kidney Stone"/>
    <x v="7"/>
    <d v="2025-09-28T00:00:00"/>
    <d v="2025-10-07T00:00:00"/>
    <s v="September"/>
    <n v="9"/>
    <n v="85428"/>
  </r>
  <r>
    <x v="586"/>
    <s v="Priya Singh"/>
    <n v="46"/>
    <s v="Male"/>
    <s v="Covid-19"/>
    <x v="0"/>
    <d v="2025-10-08T00:00:00"/>
    <d v="2025-10-19T00:00:00"/>
    <s v="October"/>
    <n v="11"/>
    <n v="106447"/>
  </r>
  <r>
    <x v="587"/>
    <s v="Arjun Rather"/>
    <n v="84"/>
    <s v="Male"/>
    <s v="Hypertension"/>
    <x v="1"/>
    <d v="2025-12-01T00:00:00"/>
    <d v="2025-12-03T00:00:00"/>
    <s v="December"/>
    <n v="2"/>
    <n v="22990"/>
  </r>
  <r>
    <x v="588"/>
    <s v="Aman Rather"/>
    <n v="83"/>
    <s v="Female"/>
    <s v="Diabetes"/>
    <x v="5"/>
    <d v="2025-09-06T00:00:00"/>
    <d v="2025-09-16T00:00:00"/>
    <s v="September"/>
    <n v="10"/>
    <n v="117330"/>
  </r>
  <r>
    <x v="589"/>
    <s v="Adil Sharma"/>
    <n v="20"/>
    <s v="Female"/>
    <s v="Diabetes"/>
    <x v="6"/>
    <d v="2025-12-01T00:00:00"/>
    <d v="2025-12-14T00:00:00"/>
    <s v="December"/>
    <n v="13"/>
    <n v="148655"/>
  </r>
  <r>
    <x v="590"/>
    <s v="Priya Kapoor"/>
    <n v="69"/>
    <s v="Female"/>
    <s v="Migraine"/>
    <x v="4"/>
    <d v="2025-04-30T00:00:00"/>
    <d v="2025-05-03T00:00:00"/>
    <s v="April"/>
    <n v="3"/>
    <n v="26247"/>
  </r>
  <r>
    <x v="591"/>
    <s v="Neha Gupta"/>
    <n v="86"/>
    <s v="Female"/>
    <s v="Heart Disease"/>
    <x v="4"/>
    <d v="2025-07-05T00:00:00"/>
    <d v="2025-07-15T00:00:00"/>
    <s v="July"/>
    <n v="10"/>
    <n v="50100"/>
  </r>
  <r>
    <x v="592"/>
    <s v="Aman Ali"/>
    <n v="84"/>
    <s v="Male"/>
    <s v="Heart Disease"/>
    <x v="0"/>
    <d v="2025-09-26T00:00:00"/>
    <d v="2025-10-06T00:00:00"/>
    <s v="September"/>
    <n v="10"/>
    <n v="66970"/>
  </r>
  <r>
    <x v="593"/>
    <s v="Pooja Kumar"/>
    <n v="84"/>
    <s v="Male"/>
    <s v="Migraine"/>
    <x v="2"/>
    <d v="2025-06-04T00:00:00"/>
    <d v="2025-06-08T00:00:00"/>
    <s v="June"/>
    <n v="4"/>
    <n v="43984"/>
  </r>
  <r>
    <x v="594"/>
    <s v="Priya Verma"/>
    <n v="26"/>
    <s v="Female"/>
    <s v="Fever"/>
    <x v="0"/>
    <d v="2025-04-25T00:00:00"/>
    <d v="2025-05-04T00:00:00"/>
    <s v="April"/>
    <n v="9"/>
    <n v="80982"/>
  </r>
  <r>
    <x v="595"/>
    <s v="Anita Gupta"/>
    <n v="70"/>
    <s v="Female"/>
    <s v="Heart Disease"/>
    <x v="1"/>
    <d v="2025-09-19T00:00:00"/>
    <d v="2025-09-29T00:00:00"/>
    <s v="September"/>
    <n v="10"/>
    <n v="89190"/>
  </r>
  <r>
    <x v="596"/>
    <s v="Sara Sharma"/>
    <n v="36"/>
    <s v="Male"/>
    <s v="Migraine"/>
    <x v="6"/>
    <d v="2025-08-16T00:00:00"/>
    <d v="2025-08-29T00:00:00"/>
    <s v="August"/>
    <n v="13"/>
    <n v="133419"/>
  </r>
  <r>
    <x v="597"/>
    <s v="Imran Kumar"/>
    <n v="69"/>
    <s v="Male"/>
    <s v="Migraine"/>
    <x v="0"/>
    <d v="2025-06-13T00:00:00"/>
    <d v="2025-06-15T00:00:00"/>
    <s v="June"/>
    <n v="2"/>
    <n v="13730"/>
  </r>
  <r>
    <x v="598"/>
    <s v="Anita Singh"/>
    <n v="15"/>
    <s v="Female"/>
    <s v="Heart Disease"/>
    <x v="6"/>
    <d v="2025-11-11T00:00:00"/>
    <d v="2025-11-26T00:00:00"/>
    <s v="November"/>
    <n v="15"/>
    <n v="93120"/>
  </r>
  <r>
    <x v="599"/>
    <s v="Priya Ali"/>
    <n v="11"/>
    <s v="Female"/>
    <s v="Migraine"/>
    <x v="6"/>
    <d v="2025-03-12T00:00:00"/>
    <d v="2025-03-19T00:00:00"/>
    <s v="March"/>
    <n v="7"/>
    <n v="33054"/>
  </r>
  <r>
    <x v="600"/>
    <s v="Adil Ali"/>
    <n v="10"/>
    <s v="Male"/>
    <s v="Migraine"/>
    <x v="2"/>
    <d v="2025-12-18T00:00:00"/>
    <d v="2025-12-26T00:00:00"/>
    <s v="December"/>
    <n v="8"/>
    <n v="92288"/>
  </r>
  <r>
    <x v="601"/>
    <s v="Arjun Rather"/>
    <n v="65"/>
    <s v="Female"/>
    <s v="Asthma"/>
    <x v="3"/>
    <d v="2025-10-04T00:00:00"/>
    <d v="2025-10-06T00:00:00"/>
    <s v="October"/>
    <n v="2"/>
    <n v="11510"/>
  </r>
  <r>
    <x v="602"/>
    <s v="Vikas Sharma"/>
    <n v="59"/>
    <s v="Male"/>
    <s v="Hypertension"/>
    <x v="4"/>
    <d v="2025-03-10T00:00:00"/>
    <d v="2025-03-23T00:00:00"/>
    <s v="March"/>
    <n v="13"/>
    <n v="144092"/>
  </r>
  <r>
    <x v="603"/>
    <s v="Zara Malik"/>
    <n v="47"/>
    <s v="Male"/>
    <s v="Diabetes"/>
    <x v="3"/>
    <d v="2025-09-28T00:00:00"/>
    <d v="2025-10-03T00:00:00"/>
    <s v="September"/>
    <n v="5"/>
    <n v="58525"/>
  </r>
  <r>
    <x v="604"/>
    <s v="Aman Ali"/>
    <n v="86"/>
    <s v="Male"/>
    <s v="Covid-19"/>
    <x v="4"/>
    <d v="2025-04-09T00:00:00"/>
    <d v="2025-04-24T00:00:00"/>
    <s v="April"/>
    <n v="15"/>
    <n v="156840"/>
  </r>
  <r>
    <x v="605"/>
    <s v="Kiran Malik"/>
    <n v="18"/>
    <s v="Female"/>
    <s v="Pneumonia"/>
    <x v="4"/>
    <d v="2025-06-07T00:00:00"/>
    <d v="2025-06-08T00:00:00"/>
    <s v="June"/>
    <n v="1"/>
    <n v="10018"/>
  </r>
  <r>
    <x v="606"/>
    <s v="Neha Gupta"/>
    <n v="9"/>
    <s v="Female"/>
    <s v="Diabetes"/>
    <x v="6"/>
    <d v="2025-02-06T00:00:00"/>
    <d v="2025-02-11T00:00:00"/>
    <s v="February"/>
    <n v="5"/>
    <n v="30815"/>
  </r>
  <r>
    <x v="607"/>
    <s v="Adil Sharma"/>
    <n v="90"/>
    <s v="Male"/>
    <s v="Heart Disease"/>
    <x v="0"/>
    <d v="2025-04-14T00:00:00"/>
    <d v="2025-04-22T00:00:00"/>
    <s v="April"/>
    <n v="8"/>
    <n v="45216"/>
  </r>
  <r>
    <x v="608"/>
    <s v="Imran Ali"/>
    <n v="20"/>
    <s v="Male"/>
    <s v="Dengue"/>
    <x v="1"/>
    <d v="2025-02-10T00:00:00"/>
    <d v="2025-02-16T00:00:00"/>
    <s v="February"/>
    <n v="6"/>
    <n v="38520"/>
  </r>
  <r>
    <x v="609"/>
    <s v="Vikas Khan"/>
    <n v="30"/>
    <s v="Female"/>
    <s v="Diabetes"/>
    <x v="6"/>
    <d v="2025-01-23T00:00:00"/>
    <d v="2025-02-07T00:00:00"/>
    <s v="January"/>
    <n v="15"/>
    <n v="85890"/>
  </r>
  <r>
    <x v="610"/>
    <s v="Kiran Malik"/>
    <n v="67"/>
    <s v="Male"/>
    <s v="Fever"/>
    <x v="4"/>
    <d v="2025-05-13T00:00:00"/>
    <d v="2025-05-19T00:00:00"/>
    <s v="May"/>
    <n v="6"/>
    <n v="25332"/>
  </r>
  <r>
    <x v="611"/>
    <s v="Anita Khan"/>
    <n v="3"/>
    <s v="Male"/>
    <s v="Migraine"/>
    <x v="1"/>
    <d v="2025-06-11T00:00:00"/>
    <d v="2025-06-23T00:00:00"/>
    <s v="June"/>
    <n v="12"/>
    <n v="133056"/>
  </r>
  <r>
    <x v="612"/>
    <s v="Arjun Ali"/>
    <n v="17"/>
    <s v="Female"/>
    <s v="Fever"/>
    <x v="4"/>
    <d v="2025-03-13T00:00:00"/>
    <d v="2025-03-15T00:00:00"/>
    <s v="March"/>
    <n v="2"/>
    <n v="20074"/>
  </r>
  <r>
    <x v="613"/>
    <s v="Rohit Rather"/>
    <n v="29"/>
    <s v="Female"/>
    <s v="Hypertension"/>
    <x v="0"/>
    <d v="2025-12-06T00:00:00"/>
    <d v="2025-12-15T00:00:00"/>
    <s v="December"/>
    <n v="9"/>
    <n v="82143"/>
  </r>
  <r>
    <x v="614"/>
    <s v="Pooja Kapoor"/>
    <n v="15"/>
    <s v="Male"/>
    <s v="Pneumonia"/>
    <x v="0"/>
    <d v="2025-07-31T00:00:00"/>
    <d v="2025-08-05T00:00:00"/>
    <s v="July"/>
    <n v="5"/>
    <n v="55545"/>
  </r>
  <r>
    <x v="615"/>
    <s v="Kiran Sharma"/>
    <n v="82"/>
    <s v="Male"/>
    <s v="Dengue"/>
    <x v="5"/>
    <d v="2025-02-08T00:00:00"/>
    <d v="2025-02-17T00:00:00"/>
    <s v="February"/>
    <n v="9"/>
    <n v="92349"/>
  </r>
  <r>
    <x v="616"/>
    <s v="Neha Gupta"/>
    <n v="40"/>
    <s v="Female"/>
    <s v="Covid-19"/>
    <x v="4"/>
    <d v="2025-06-05T00:00:00"/>
    <d v="2025-06-12T00:00:00"/>
    <s v="June"/>
    <n v="7"/>
    <n v="35868"/>
  </r>
  <r>
    <x v="617"/>
    <s v="Arjun Rather"/>
    <n v="54"/>
    <s v="Female"/>
    <s v="Asthma"/>
    <x v="1"/>
    <d v="2025-04-16T00:00:00"/>
    <d v="2025-04-23T00:00:00"/>
    <s v="April"/>
    <n v="7"/>
    <n v="76090"/>
  </r>
  <r>
    <x v="618"/>
    <s v="Priya Verma"/>
    <n v="10"/>
    <s v="Female"/>
    <s v="Hypertension"/>
    <x v="7"/>
    <d v="2025-12-17T00:00:00"/>
    <d v="2025-12-24T00:00:00"/>
    <s v="December"/>
    <n v="7"/>
    <n v="69447"/>
  </r>
  <r>
    <x v="619"/>
    <s v="Vikas Khan"/>
    <n v="87"/>
    <s v="Female"/>
    <s v="Diabetes"/>
    <x v="2"/>
    <d v="2025-04-29T00:00:00"/>
    <d v="2025-05-06T00:00:00"/>
    <s v="April"/>
    <n v="7"/>
    <n v="48118"/>
  </r>
  <r>
    <x v="620"/>
    <s v="Zara Ali"/>
    <n v="36"/>
    <s v="Male"/>
    <s v="Migraine"/>
    <x v="0"/>
    <d v="2025-11-02T00:00:00"/>
    <d v="2025-11-06T00:00:00"/>
    <s v="November"/>
    <n v="4"/>
    <n v="18240"/>
  </r>
  <r>
    <x v="621"/>
    <s v="Anita Kapoor"/>
    <n v="86"/>
    <s v="Female"/>
    <s v="Dengue"/>
    <x v="2"/>
    <d v="2025-10-14T00:00:00"/>
    <d v="2025-10-19T00:00:00"/>
    <s v="October"/>
    <n v="5"/>
    <n v="56445"/>
  </r>
  <r>
    <x v="622"/>
    <s v="Adil Kapoor"/>
    <n v="81"/>
    <s v="Male"/>
    <s v="Fever"/>
    <x v="2"/>
    <d v="2025-12-17T00:00:00"/>
    <d v="2025-12-23T00:00:00"/>
    <s v="December"/>
    <n v="6"/>
    <n v="30882"/>
  </r>
  <r>
    <x v="623"/>
    <s v="Pooja Gupta"/>
    <n v="61"/>
    <s v="Female"/>
    <s v="Hypertension"/>
    <x v="2"/>
    <d v="2025-07-05T00:00:00"/>
    <d v="2025-07-06T00:00:00"/>
    <s v="July"/>
    <n v="1"/>
    <n v="11680"/>
  </r>
  <r>
    <x v="624"/>
    <s v="Rahul Verma"/>
    <n v="77"/>
    <s v="Male"/>
    <s v="Heart Disease"/>
    <x v="5"/>
    <d v="2025-09-04T00:00:00"/>
    <d v="2025-09-13T00:00:00"/>
    <s v="September"/>
    <n v="9"/>
    <n v="43290"/>
  </r>
  <r>
    <x v="625"/>
    <s v="Imran Ali"/>
    <n v="41"/>
    <s v="Female"/>
    <s v="Covid-19"/>
    <x v="0"/>
    <d v="2025-07-24T00:00:00"/>
    <d v="2025-07-30T00:00:00"/>
    <s v="July"/>
    <n v="6"/>
    <n v="43374"/>
  </r>
  <r>
    <x v="626"/>
    <s v="Aman Khan"/>
    <n v="3"/>
    <s v="Female"/>
    <s v="Heart Disease"/>
    <x v="1"/>
    <d v="2025-03-19T00:00:00"/>
    <d v="2025-03-24T00:00:00"/>
    <s v="March"/>
    <n v="5"/>
    <n v="54815"/>
  </r>
  <r>
    <x v="627"/>
    <s v="Sara Gupta"/>
    <n v="50"/>
    <s v="Male"/>
    <s v="Covid-19"/>
    <x v="6"/>
    <d v="2025-02-16T00:00:00"/>
    <d v="2025-02-27T00:00:00"/>
    <s v="February"/>
    <n v="11"/>
    <n v="113366"/>
  </r>
  <r>
    <x v="628"/>
    <s v="Anita Kapoor"/>
    <n v="31"/>
    <s v="Male"/>
    <s v="Hypertension"/>
    <x v="0"/>
    <d v="2025-05-22T00:00:00"/>
    <d v="2025-06-04T00:00:00"/>
    <s v="May"/>
    <n v="13"/>
    <n v="127296"/>
  </r>
  <r>
    <x v="629"/>
    <s v="Anita Sharma"/>
    <n v="44"/>
    <s v="Female"/>
    <s v="Diabetes"/>
    <x v="6"/>
    <d v="2025-06-28T00:00:00"/>
    <d v="2025-07-04T00:00:00"/>
    <s v="June"/>
    <n v="6"/>
    <n v="39714"/>
  </r>
  <r>
    <x v="630"/>
    <s v="Aman Malik"/>
    <n v="40"/>
    <s v="Female"/>
    <s v="Asthma"/>
    <x v="3"/>
    <d v="2025-12-16T00:00:00"/>
    <d v="2025-12-31T00:00:00"/>
    <s v="December"/>
    <n v="15"/>
    <n v="136110"/>
  </r>
  <r>
    <x v="631"/>
    <s v="Sara Khan"/>
    <n v="84"/>
    <s v="Male"/>
    <s v="Dengue"/>
    <x v="0"/>
    <d v="2025-04-18T00:00:00"/>
    <d v="2025-05-01T00:00:00"/>
    <s v="April"/>
    <n v="13"/>
    <n v="129519"/>
  </r>
  <r>
    <x v="632"/>
    <s v="Rahul Malik"/>
    <n v="23"/>
    <s v="Female"/>
    <s v="Heart Disease"/>
    <x v="0"/>
    <d v="2025-10-12T00:00:00"/>
    <d v="2025-10-13T00:00:00"/>
    <s v="October"/>
    <n v="1"/>
    <n v="7958"/>
  </r>
  <r>
    <x v="633"/>
    <s v="Anita Verma"/>
    <n v="57"/>
    <s v="Female"/>
    <s v="Kidney Stone"/>
    <x v="7"/>
    <d v="2025-02-25T00:00:00"/>
    <d v="2025-02-27T00:00:00"/>
    <s v="February"/>
    <n v="2"/>
    <n v="20154"/>
  </r>
  <r>
    <x v="634"/>
    <s v="Sara Sharma"/>
    <n v="8"/>
    <s v="Female"/>
    <s v="Kidney Stone"/>
    <x v="6"/>
    <d v="2025-04-17T00:00:00"/>
    <d v="2025-04-28T00:00:00"/>
    <s v="April"/>
    <n v="11"/>
    <n v="58993"/>
  </r>
  <r>
    <x v="635"/>
    <s v="Imran Ali"/>
    <n v="40"/>
    <s v="Male"/>
    <s v="Migraine"/>
    <x v="2"/>
    <d v="2025-08-10T00:00:00"/>
    <d v="2025-08-23T00:00:00"/>
    <s v="August"/>
    <n v="13"/>
    <n v="143312"/>
  </r>
  <r>
    <x v="636"/>
    <s v="Pooja Malik"/>
    <n v="15"/>
    <s v="Female"/>
    <s v="Hypertension"/>
    <x v="3"/>
    <d v="2025-01-09T00:00:00"/>
    <d v="2025-01-13T00:00:00"/>
    <s v="January"/>
    <n v="4"/>
    <n v="17372"/>
  </r>
  <r>
    <x v="637"/>
    <s v="Adil Malik"/>
    <n v="11"/>
    <s v="Female"/>
    <s v="Heart Disease"/>
    <x v="0"/>
    <d v="2025-07-07T00:00:00"/>
    <d v="2025-07-21T00:00:00"/>
    <s v="July"/>
    <n v="14"/>
    <n v="107184"/>
  </r>
  <r>
    <x v="638"/>
    <s v="Rohit Kumar"/>
    <n v="55"/>
    <s v="Male"/>
    <s v="Diabetes"/>
    <x v="3"/>
    <d v="2025-10-10T00:00:00"/>
    <d v="2025-10-18T00:00:00"/>
    <s v="October"/>
    <n v="8"/>
    <n v="91064"/>
  </r>
  <r>
    <x v="639"/>
    <s v="Arjun Gupta"/>
    <n v="83"/>
    <s v="Female"/>
    <s v="Migraine"/>
    <x v="1"/>
    <d v="2025-01-02T00:00:00"/>
    <d v="2025-01-06T00:00:00"/>
    <s v="January"/>
    <n v="4"/>
    <n v="30700"/>
  </r>
  <r>
    <x v="640"/>
    <s v="Rahul Ali"/>
    <n v="16"/>
    <s v="Male"/>
    <s v="Migraine"/>
    <x v="7"/>
    <d v="2025-09-19T00:00:00"/>
    <d v="2025-09-28T00:00:00"/>
    <s v="September"/>
    <n v="9"/>
    <n v="100611"/>
  </r>
  <r>
    <x v="641"/>
    <s v="Sara Kapoor"/>
    <n v="62"/>
    <s v="Female"/>
    <s v="Kidney Stone"/>
    <x v="5"/>
    <d v="2025-11-20T00:00:00"/>
    <d v="2025-11-27T00:00:00"/>
    <s v="November"/>
    <n v="7"/>
    <n v="67620"/>
  </r>
  <r>
    <x v="642"/>
    <s v="Anita Ali"/>
    <n v="45"/>
    <s v="Female"/>
    <s v="Migraine"/>
    <x v="1"/>
    <d v="2025-10-26T00:00:00"/>
    <d v="2025-11-06T00:00:00"/>
    <s v="October"/>
    <n v="11"/>
    <n v="47696"/>
  </r>
  <r>
    <x v="643"/>
    <s v="Priya Ali"/>
    <n v="36"/>
    <s v="Male"/>
    <s v="Diabetes"/>
    <x v="5"/>
    <d v="2025-04-15T00:00:00"/>
    <d v="2025-04-21T00:00:00"/>
    <s v="April"/>
    <n v="6"/>
    <n v="32958"/>
  </r>
  <r>
    <x v="644"/>
    <s v="Anita Sharma"/>
    <n v="11"/>
    <s v="Male"/>
    <s v="Diabetes"/>
    <x v="2"/>
    <d v="2025-07-15T00:00:00"/>
    <d v="2025-07-29T00:00:00"/>
    <s v="July"/>
    <n v="14"/>
    <n v="107814"/>
  </r>
  <r>
    <x v="645"/>
    <s v="Sara Rather"/>
    <n v="48"/>
    <s v="Male"/>
    <s v="Hypertension"/>
    <x v="2"/>
    <d v="2025-03-31T00:00:00"/>
    <d v="2025-04-08T00:00:00"/>
    <s v="March"/>
    <n v="8"/>
    <n v="60560"/>
  </r>
  <r>
    <x v="646"/>
    <s v="Rahul Malik"/>
    <n v="19"/>
    <s v="Female"/>
    <s v="Diabetes"/>
    <x v="4"/>
    <d v="2025-07-31T00:00:00"/>
    <d v="2025-08-01T00:00:00"/>
    <s v="July"/>
    <n v="1"/>
    <n v="10474"/>
  </r>
  <r>
    <x v="647"/>
    <s v="Priya Rather"/>
    <n v="41"/>
    <s v="Male"/>
    <s v="Covid-19"/>
    <x v="7"/>
    <d v="2025-11-25T00:00:00"/>
    <d v="2025-11-30T00:00:00"/>
    <s v="November"/>
    <n v="5"/>
    <n v="51060"/>
  </r>
  <r>
    <x v="648"/>
    <s v="Imran Verma"/>
    <n v="4"/>
    <s v="Male"/>
    <s v="Hypertension"/>
    <x v="3"/>
    <d v="2025-04-28T00:00:00"/>
    <d v="2025-05-05T00:00:00"/>
    <s v="April"/>
    <n v="7"/>
    <n v="55510"/>
  </r>
  <r>
    <x v="649"/>
    <s v="Aman Kapoor"/>
    <n v="10"/>
    <s v="Male"/>
    <s v="Fever"/>
    <x v="5"/>
    <d v="2025-04-06T00:00:00"/>
    <d v="2025-04-08T00:00:00"/>
    <s v="April"/>
    <n v="2"/>
    <n v="19618"/>
  </r>
  <r>
    <x v="650"/>
    <s v="Priya Malik"/>
    <n v="42"/>
    <s v="Female"/>
    <s v="Hypertension"/>
    <x v="2"/>
    <d v="2025-10-26T00:00:00"/>
    <d v="2025-11-03T00:00:00"/>
    <s v="October"/>
    <n v="8"/>
    <n v="47760"/>
  </r>
  <r>
    <x v="651"/>
    <s v="Aman Rather"/>
    <n v="44"/>
    <s v="Female"/>
    <s v="Hypertension"/>
    <x v="7"/>
    <d v="2025-07-24T00:00:00"/>
    <d v="2025-07-25T00:00:00"/>
    <s v="July"/>
    <n v="1"/>
    <n v="5406"/>
  </r>
  <r>
    <x v="652"/>
    <s v="Arjun Verma"/>
    <n v="41"/>
    <s v="Female"/>
    <s v="Asthma"/>
    <x v="6"/>
    <d v="2025-07-29T00:00:00"/>
    <d v="2025-08-10T00:00:00"/>
    <s v="July"/>
    <n v="12"/>
    <n v="55692"/>
  </r>
  <r>
    <x v="653"/>
    <s v="Anita Singh"/>
    <n v="78"/>
    <s v="Male"/>
    <s v="Diabetes"/>
    <x v="0"/>
    <d v="2025-10-20T00:00:00"/>
    <d v="2025-10-31T00:00:00"/>
    <s v="October"/>
    <n v="11"/>
    <n v="68849"/>
  </r>
  <r>
    <x v="654"/>
    <s v="Rahul Malik"/>
    <n v="75"/>
    <s v="Male"/>
    <s v="Diabetes"/>
    <x v="5"/>
    <d v="2025-12-06T00:00:00"/>
    <d v="2025-12-11T00:00:00"/>
    <s v="December"/>
    <n v="5"/>
    <n v="30545"/>
  </r>
  <r>
    <x v="655"/>
    <s v="Kiran Kumar"/>
    <n v="78"/>
    <s v="Male"/>
    <s v="Dengue"/>
    <x v="0"/>
    <d v="2025-03-09T00:00:00"/>
    <d v="2025-03-18T00:00:00"/>
    <s v="March"/>
    <n v="9"/>
    <n v="52938"/>
  </r>
  <r>
    <x v="656"/>
    <s v="Rahul Singh"/>
    <n v="26"/>
    <s v="Male"/>
    <s v="Fever"/>
    <x v="3"/>
    <d v="2025-10-19T00:00:00"/>
    <d v="2025-10-31T00:00:00"/>
    <s v="October"/>
    <n v="12"/>
    <n v="56604"/>
  </r>
  <r>
    <x v="657"/>
    <s v="Mehak Gupta"/>
    <n v="2"/>
    <s v="Male"/>
    <s v="Kidney Stone"/>
    <x v="6"/>
    <d v="2025-05-07T00:00:00"/>
    <d v="2025-05-09T00:00:00"/>
    <s v="May"/>
    <n v="2"/>
    <n v="14714"/>
  </r>
  <r>
    <x v="658"/>
    <s v="Sara Malik"/>
    <n v="79"/>
    <s v="Male"/>
    <s v="Covid-19"/>
    <x v="7"/>
    <d v="2025-06-26T00:00:00"/>
    <d v="2025-07-04T00:00:00"/>
    <s v="June"/>
    <n v="8"/>
    <n v="77392"/>
  </r>
  <r>
    <x v="659"/>
    <s v="Priya Singh"/>
    <n v="15"/>
    <s v="Female"/>
    <s v="Covid-19"/>
    <x v="5"/>
    <d v="2025-01-21T00:00:00"/>
    <d v="2025-01-27T00:00:00"/>
    <s v="January"/>
    <n v="6"/>
    <n v="45516"/>
  </r>
  <r>
    <x v="660"/>
    <s v="Rahul Gupta"/>
    <n v="73"/>
    <s v="Male"/>
    <s v="Kidney Stone"/>
    <x v="3"/>
    <d v="2025-12-09T00:00:00"/>
    <d v="2025-12-18T00:00:00"/>
    <s v="December"/>
    <n v="9"/>
    <n v="48735"/>
  </r>
  <r>
    <x v="661"/>
    <s v="Neha Verma"/>
    <n v="25"/>
    <s v="Female"/>
    <s v="Dengue"/>
    <x v="4"/>
    <d v="2025-09-17T00:00:00"/>
    <d v="2025-09-23T00:00:00"/>
    <s v="September"/>
    <n v="6"/>
    <n v="30294"/>
  </r>
  <r>
    <x v="662"/>
    <s v="Sara Sharma"/>
    <n v="2"/>
    <s v="Male"/>
    <s v="Fever"/>
    <x v="3"/>
    <d v="2025-07-10T00:00:00"/>
    <d v="2025-07-24T00:00:00"/>
    <s v="July"/>
    <n v="14"/>
    <n v="77826"/>
  </r>
  <r>
    <x v="663"/>
    <s v="Sara Rather"/>
    <n v="28"/>
    <s v="Female"/>
    <s v="Dengue"/>
    <x v="5"/>
    <d v="2025-09-21T00:00:00"/>
    <d v="2025-09-23T00:00:00"/>
    <s v="September"/>
    <n v="2"/>
    <n v="12586"/>
  </r>
  <r>
    <x v="664"/>
    <s v="Kiran Malik"/>
    <n v="87"/>
    <s v="Female"/>
    <s v="Dengue"/>
    <x v="1"/>
    <d v="2025-02-16T00:00:00"/>
    <d v="2025-02-28T00:00:00"/>
    <s v="February"/>
    <n v="12"/>
    <n v="49728"/>
  </r>
  <r>
    <x v="665"/>
    <s v="Zara Malik"/>
    <n v="12"/>
    <s v="Male"/>
    <s v="Covid-19"/>
    <x v="6"/>
    <d v="2025-12-19T00:00:00"/>
    <d v="2025-12-27T00:00:00"/>
    <s v="December"/>
    <n v="8"/>
    <n v="52080"/>
  </r>
  <r>
    <x v="666"/>
    <s v="Arjun Malik"/>
    <n v="77"/>
    <s v="Female"/>
    <s v="Hypertension"/>
    <x v="4"/>
    <d v="2025-01-24T00:00:00"/>
    <d v="2025-02-01T00:00:00"/>
    <s v="January"/>
    <n v="8"/>
    <n v="34048"/>
  </r>
  <r>
    <x v="667"/>
    <s v="Sara Rather"/>
    <n v="40"/>
    <s v="Female"/>
    <s v="Pneumonia"/>
    <x v="7"/>
    <d v="2025-05-22T00:00:00"/>
    <d v="2025-06-06T00:00:00"/>
    <s v="May"/>
    <n v="15"/>
    <n v="137565"/>
  </r>
  <r>
    <x v="668"/>
    <s v="Adil Khan"/>
    <n v="9"/>
    <s v="Male"/>
    <s v="Asthma"/>
    <x v="1"/>
    <d v="2025-04-29T00:00:00"/>
    <d v="2025-05-05T00:00:00"/>
    <s v="April"/>
    <n v="6"/>
    <n v="50430"/>
  </r>
  <r>
    <x v="669"/>
    <s v="Rahul Malik"/>
    <n v="39"/>
    <s v="Male"/>
    <s v="Fever"/>
    <x v="3"/>
    <d v="2025-07-08T00:00:00"/>
    <d v="2025-07-18T00:00:00"/>
    <s v="July"/>
    <n v="10"/>
    <n v="78910"/>
  </r>
  <r>
    <x v="670"/>
    <s v="Arjun Sharma"/>
    <n v="14"/>
    <s v="Female"/>
    <s v="Hypertension"/>
    <x v="5"/>
    <d v="2025-08-30T00:00:00"/>
    <d v="2025-09-04T00:00:00"/>
    <s v="August"/>
    <n v="5"/>
    <n v="34920"/>
  </r>
  <r>
    <x v="671"/>
    <s v="Mehak Ali"/>
    <n v="34"/>
    <s v="Male"/>
    <s v="Dengue"/>
    <x v="2"/>
    <d v="2025-07-30T00:00:00"/>
    <d v="2025-08-11T00:00:00"/>
    <s v="July"/>
    <n v="12"/>
    <n v="93804"/>
  </r>
  <r>
    <x v="672"/>
    <s v="Arjun Malik"/>
    <n v="34"/>
    <s v="Female"/>
    <s v="Migraine"/>
    <x v="6"/>
    <d v="2025-01-25T00:00:00"/>
    <d v="2025-02-02T00:00:00"/>
    <s v="January"/>
    <n v="8"/>
    <n v="49032"/>
  </r>
  <r>
    <x v="673"/>
    <s v="Vikas Malik"/>
    <n v="31"/>
    <s v="Male"/>
    <s v="Covid-19"/>
    <x v="2"/>
    <d v="2025-12-19T00:00:00"/>
    <d v="2025-12-21T00:00:00"/>
    <s v="December"/>
    <n v="2"/>
    <n v="12054"/>
  </r>
  <r>
    <x v="674"/>
    <s v="Kiran Khan"/>
    <n v="89"/>
    <s v="Male"/>
    <s v="Hypertension"/>
    <x v="2"/>
    <d v="2025-09-04T00:00:00"/>
    <d v="2025-09-15T00:00:00"/>
    <s v="September"/>
    <n v="11"/>
    <n v="130559"/>
  </r>
  <r>
    <x v="675"/>
    <s v="Vikas Khan"/>
    <n v="51"/>
    <s v="Male"/>
    <s v="Migraine"/>
    <x v="3"/>
    <d v="2025-11-09T00:00:00"/>
    <d v="2025-11-16T00:00:00"/>
    <s v="November"/>
    <n v="7"/>
    <n v="67872"/>
  </r>
  <r>
    <x v="676"/>
    <s v="Sara Singh"/>
    <n v="46"/>
    <s v="Male"/>
    <s v="Covid-19"/>
    <x v="5"/>
    <d v="2025-02-22T00:00:00"/>
    <d v="2025-02-24T00:00:00"/>
    <s v="February"/>
    <n v="2"/>
    <n v="20624"/>
  </r>
  <r>
    <x v="677"/>
    <s v="Vikas Singh"/>
    <n v="7"/>
    <s v="Female"/>
    <s v="Hypertension"/>
    <x v="6"/>
    <d v="2025-06-01T00:00:00"/>
    <d v="2025-06-14T00:00:00"/>
    <s v="June"/>
    <n v="13"/>
    <n v="119548"/>
  </r>
  <r>
    <x v="678"/>
    <s v="Mehak Verma"/>
    <n v="65"/>
    <s v="Male"/>
    <s v="Dengue"/>
    <x v="2"/>
    <d v="2025-01-19T00:00:00"/>
    <d v="2025-01-31T00:00:00"/>
    <s v="January"/>
    <n v="12"/>
    <n v="76572"/>
  </r>
  <r>
    <x v="679"/>
    <s v="Mehak Gupta"/>
    <n v="3"/>
    <s v="Male"/>
    <s v="Diabetes"/>
    <x v="4"/>
    <d v="2025-01-19T00:00:00"/>
    <d v="2025-01-24T00:00:00"/>
    <s v="January"/>
    <n v="5"/>
    <n v="52675"/>
  </r>
  <r>
    <x v="680"/>
    <s v="Arjun Singh"/>
    <n v="27"/>
    <s v="Male"/>
    <s v="Fever"/>
    <x v="2"/>
    <d v="2025-12-05T00:00:00"/>
    <d v="2025-12-18T00:00:00"/>
    <s v="December"/>
    <n v="13"/>
    <n v="155922"/>
  </r>
  <r>
    <x v="681"/>
    <s v="Neha Malik"/>
    <n v="70"/>
    <s v="Male"/>
    <s v="Diabetes"/>
    <x v="6"/>
    <d v="2025-09-18T00:00:00"/>
    <d v="2025-09-29T00:00:00"/>
    <s v="September"/>
    <n v="11"/>
    <n v="60830"/>
  </r>
  <r>
    <x v="682"/>
    <s v="Neha Rather"/>
    <n v="79"/>
    <s v="Female"/>
    <s v="Covid-19"/>
    <x v="0"/>
    <d v="2025-10-22T00:00:00"/>
    <d v="2025-10-31T00:00:00"/>
    <s v="October"/>
    <n v="9"/>
    <n v="36279"/>
  </r>
  <r>
    <x v="683"/>
    <s v="Neha Ali"/>
    <n v="64"/>
    <s v="Female"/>
    <s v="Diabetes"/>
    <x v="4"/>
    <d v="2025-08-24T00:00:00"/>
    <d v="2025-09-02T00:00:00"/>
    <s v="August"/>
    <n v="9"/>
    <n v="75942"/>
  </r>
  <r>
    <x v="684"/>
    <s v="Priya Kumar"/>
    <n v="40"/>
    <s v="Female"/>
    <s v="Covid-19"/>
    <x v="0"/>
    <d v="2025-09-30T00:00:00"/>
    <d v="2025-10-09T00:00:00"/>
    <s v="September"/>
    <n v="9"/>
    <n v="51435"/>
  </r>
  <r>
    <x v="685"/>
    <s v="Zara Sharma"/>
    <n v="17"/>
    <s v="Female"/>
    <s v="Hypertension"/>
    <x v="6"/>
    <d v="2025-01-26T00:00:00"/>
    <d v="2025-01-31T00:00:00"/>
    <s v="January"/>
    <n v="5"/>
    <n v="22540"/>
  </r>
  <r>
    <x v="686"/>
    <s v="Arjun Kumar"/>
    <n v="79"/>
    <s v="Male"/>
    <s v="Asthma"/>
    <x v="7"/>
    <d v="2025-12-10T00:00:00"/>
    <d v="2025-12-18T00:00:00"/>
    <s v="December"/>
    <n v="8"/>
    <n v="76856"/>
  </r>
  <r>
    <x v="687"/>
    <s v="Priya Gupta"/>
    <n v="70"/>
    <s v="Female"/>
    <s v="Diabetes"/>
    <x v="6"/>
    <d v="2025-07-03T00:00:00"/>
    <d v="2025-07-08T00:00:00"/>
    <s v="July"/>
    <n v="5"/>
    <n v="39915"/>
  </r>
  <r>
    <x v="688"/>
    <s v="Vikas Kapoor"/>
    <n v="29"/>
    <s v="Female"/>
    <s v="Pneumonia"/>
    <x v="7"/>
    <d v="2025-05-10T00:00:00"/>
    <d v="2025-05-18T00:00:00"/>
    <s v="May"/>
    <n v="8"/>
    <n v="56720"/>
  </r>
  <r>
    <x v="689"/>
    <s v="Aman Ali"/>
    <n v="66"/>
    <s v="Female"/>
    <s v="Fever"/>
    <x v="5"/>
    <d v="2025-04-19T00:00:00"/>
    <d v="2025-05-02T00:00:00"/>
    <s v="April"/>
    <n v="13"/>
    <n v="135473"/>
  </r>
  <r>
    <x v="690"/>
    <s v="Adil Kumar"/>
    <n v="16"/>
    <s v="Female"/>
    <s v="Asthma"/>
    <x v="2"/>
    <d v="2025-04-21T00:00:00"/>
    <d v="2025-05-01T00:00:00"/>
    <s v="April"/>
    <n v="10"/>
    <n v="81250"/>
  </r>
  <r>
    <x v="691"/>
    <s v="Rahul Sharma"/>
    <n v="37"/>
    <s v="Female"/>
    <s v="Pneumonia"/>
    <x v="0"/>
    <d v="2025-04-04T00:00:00"/>
    <d v="2025-04-08T00:00:00"/>
    <s v="April"/>
    <n v="4"/>
    <n v="39000"/>
  </r>
  <r>
    <x v="692"/>
    <s v="Kiran Sharma"/>
    <n v="39"/>
    <s v="Male"/>
    <s v="Kidney Stone"/>
    <x v="4"/>
    <d v="2025-05-06T00:00:00"/>
    <d v="2025-05-10T00:00:00"/>
    <s v="May"/>
    <n v="4"/>
    <n v="30696"/>
  </r>
  <r>
    <x v="693"/>
    <s v="Rohit Rather"/>
    <n v="49"/>
    <s v="Male"/>
    <s v="Kidney Stone"/>
    <x v="6"/>
    <d v="2025-06-02T00:00:00"/>
    <d v="2025-06-08T00:00:00"/>
    <s v="June"/>
    <n v="6"/>
    <n v="40644"/>
  </r>
  <r>
    <x v="694"/>
    <s v="Neha Khan"/>
    <n v="63"/>
    <s v="Female"/>
    <s v="Kidney Stone"/>
    <x v="3"/>
    <d v="2025-05-20T00:00:00"/>
    <d v="2025-05-26T00:00:00"/>
    <s v="May"/>
    <n v="6"/>
    <n v="45210"/>
  </r>
  <r>
    <x v="695"/>
    <s v="Mehak Singh"/>
    <n v="12"/>
    <s v="Female"/>
    <s v="Fever"/>
    <x v="6"/>
    <d v="2025-09-19T00:00:00"/>
    <d v="2025-10-02T00:00:00"/>
    <s v="September"/>
    <n v="13"/>
    <n v="85098"/>
  </r>
  <r>
    <x v="696"/>
    <s v="Priya Malik"/>
    <n v="66"/>
    <s v="Male"/>
    <s v="Diabetes"/>
    <x v="0"/>
    <d v="2025-10-13T00:00:00"/>
    <d v="2025-10-16T00:00:00"/>
    <s v="October"/>
    <n v="3"/>
    <n v="17523"/>
  </r>
  <r>
    <x v="697"/>
    <s v="Arjun Malik"/>
    <n v="55"/>
    <s v="Male"/>
    <s v="Dengue"/>
    <x v="2"/>
    <d v="2025-07-21T00:00:00"/>
    <d v="2025-07-22T00:00:00"/>
    <s v="July"/>
    <n v="1"/>
    <n v="10280"/>
  </r>
  <r>
    <x v="698"/>
    <s v="Arjun Gupta"/>
    <n v="47"/>
    <s v="Female"/>
    <s v="Pneumonia"/>
    <x v="7"/>
    <d v="2025-08-07T00:00:00"/>
    <d v="2025-08-20T00:00:00"/>
    <s v="August"/>
    <n v="13"/>
    <n v="147849"/>
  </r>
  <r>
    <x v="699"/>
    <s v="Anita Singh"/>
    <n v="73"/>
    <s v="Female"/>
    <s v="Heart Disease"/>
    <x v="5"/>
    <d v="2025-11-03T00:00:00"/>
    <d v="2025-11-13T00:00:00"/>
    <s v="November"/>
    <n v="10"/>
    <n v="103930"/>
  </r>
  <r>
    <x v="700"/>
    <s v="Arjun Khan"/>
    <n v="86"/>
    <s v="Male"/>
    <s v="Migraine"/>
    <x v="3"/>
    <d v="2025-06-01T00:00:00"/>
    <d v="2025-06-02T00:00:00"/>
    <s v="June"/>
    <n v="1"/>
    <n v="10724"/>
  </r>
  <r>
    <x v="701"/>
    <s v="Sara Kapoor"/>
    <n v="33"/>
    <s v="Female"/>
    <s v="Covid-19"/>
    <x v="3"/>
    <d v="2025-06-13T00:00:00"/>
    <d v="2025-06-16T00:00:00"/>
    <s v="June"/>
    <n v="3"/>
    <n v="34629"/>
  </r>
  <r>
    <x v="702"/>
    <s v="Adil Khan"/>
    <n v="18"/>
    <s v="Male"/>
    <s v="Diabetes"/>
    <x v="1"/>
    <d v="2025-01-03T00:00:00"/>
    <d v="2025-01-15T00:00:00"/>
    <s v="January"/>
    <n v="12"/>
    <n v="131724"/>
  </r>
  <r>
    <x v="703"/>
    <s v="Zara Singh"/>
    <n v="59"/>
    <s v="Male"/>
    <s v="Hypertension"/>
    <x v="5"/>
    <d v="2025-10-24T00:00:00"/>
    <d v="2025-11-01T00:00:00"/>
    <s v="October"/>
    <n v="8"/>
    <n v="33176"/>
  </r>
  <r>
    <x v="704"/>
    <s v="Neha Gupta"/>
    <n v="18"/>
    <s v="Female"/>
    <s v="Pneumonia"/>
    <x v="3"/>
    <d v="2025-10-27T00:00:00"/>
    <d v="2025-10-29T00:00:00"/>
    <s v="October"/>
    <n v="2"/>
    <n v="11576"/>
  </r>
  <r>
    <x v="705"/>
    <s v="Imran Verma"/>
    <n v="22"/>
    <s v="Female"/>
    <s v="Fever"/>
    <x v="7"/>
    <d v="2025-10-27T00:00:00"/>
    <d v="2025-11-04T00:00:00"/>
    <s v="October"/>
    <n v="8"/>
    <n v="53904"/>
  </r>
  <r>
    <x v="706"/>
    <s v="Anita Singh"/>
    <n v="49"/>
    <s v="Female"/>
    <s v="Covid-19"/>
    <x v="7"/>
    <d v="2025-03-03T00:00:00"/>
    <d v="2025-03-18T00:00:00"/>
    <s v="March"/>
    <n v="15"/>
    <n v="127155"/>
  </r>
  <r>
    <x v="707"/>
    <s v="Vikas Verma"/>
    <n v="18"/>
    <s v="Female"/>
    <s v="Migraine"/>
    <x v="5"/>
    <d v="2025-01-05T00:00:00"/>
    <d v="2025-01-11T00:00:00"/>
    <s v="January"/>
    <n v="6"/>
    <n v="44418"/>
  </r>
  <r>
    <x v="708"/>
    <s v="Rohit Kapoor"/>
    <n v="32"/>
    <s v="Male"/>
    <s v="Heart Disease"/>
    <x v="1"/>
    <d v="2025-07-27T00:00:00"/>
    <d v="2025-08-05T00:00:00"/>
    <s v="July"/>
    <n v="9"/>
    <n v="41580"/>
  </r>
  <r>
    <x v="709"/>
    <s v="Vikas Ali"/>
    <n v="73"/>
    <s v="Male"/>
    <s v="Heart Disease"/>
    <x v="0"/>
    <d v="2025-05-29T00:00:00"/>
    <d v="2025-06-04T00:00:00"/>
    <s v="May"/>
    <n v="6"/>
    <n v="29892"/>
  </r>
  <r>
    <x v="710"/>
    <s v="Anita Gupta"/>
    <n v="66"/>
    <s v="Male"/>
    <s v="Fever"/>
    <x v="4"/>
    <d v="2025-09-10T00:00:00"/>
    <d v="2025-09-23T00:00:00"/>
    <s v="September"/>
    <n v="13"/>
    <n v="155987"/>
  </r>
  <r>
    <x v="711"/>
    <s v="Imran Malik"/>
    <n v="26"/>
    <s v="Male"/>
    <s v="Pneumonia"/>
    <x v="3"/>
    <d v="2025-03-24T00:00:00"/>
    <d v="2025-04-04T00:00:00"/>
    <s v="March"/>
    <n v="11"/>
    <n v="63096"/>
  </r>
  <r>
    <x v="712"/>
    <s v="Rahul Rather"/>
    <n v="3"/>
    <s v="Female"/>
    <s v="Pneumonia"/>
    <x v="7"/>
    <d v="2025-08-17T00:00:00"/>
    <d v="2025-08-25T00:00:00"/>
    <s v="August"/>
    <n v="8"/>
    <n v="64184"/>
  </r>
  <r>
    <x v="713"/>
    <s v="Priya Ali"/>
    <n v="74"/>
    <s v="Female"/>
    <s v="Pneumonia"/>
    <x v="7"/>
    <d v="2025-09-08T00:00:00"/>
    <d v="2025-09-09T00:00:00"/>
    <s v="September"/>
    <n v="1"/>
    <n v="8061"/>
  </r>
  <r>
    <x v="714"/>
    <s v="Rahul Singh"/>
    <n v="87"/>
    <s v="Female"/>
    <s v="Diabetes"/>
    <x v="0"/>
    <d v="2025-01-25T00:00:00"/>
    <d v="2025-01-27T00:00:00"/>
    <s v="January"/>
    <n v="2"/>
    <n v="18980"/>
  </r>
  <r>
    <x v="715"/>
    <s v="Pooja Gupta"/>
    <n v="10"/>
    <s v="Female"/>
    <s v="Hypertension"/>
    <x v="2"/>
    <d v="2025-07-29T00:00:00"/>
    <d v="2025-07-31T00:00:00"/>
    <s v="July"/>
    <n v="2"/>
    <n v="13188"/>
  </r>
  <r>
    <x v="716"/>
    <s v="Zara Kumar"/>
    <n v="8"/>
    <s v="Male"/>
    <s v="Hypertension"/>
    <x v="3"/>
    <d v="2025-01-21T00:00:00"/>
    <d v="2025-01-26T00:00:00"/>
    <s v="January"/>
    <n v="5"/>
    <n v="24740"/>
  </r>
  <r>
    <x v="717"/>
    <s v="Kiran Kapoor"/>
    <n v="46"/>
    <s v="Female"/>
    <s v="Hypertension"/>
    <x v="3"/>
    <d v="2025-01-19T00:00:00"/>
    <d v="2025-02-03T00:00:00"/>
    <s v="January"/>
    <n v="15"/>
    <n v="66450"/>
  </r>
  <r>
    <x v="718"/>
    <s v="Zara Kumar"/>
    <n v="14"/>
    <s v="Male"/>
    <s v="Fever"/>
    <x v="2"/>
    <d v="2025-01-28T00:00:00"/>
    <d v="2025-02-11T00:00:00"/>
    <s v="January"/>
    <n v="14"/>
    <n v="113358"/>
  </r>
  <r>
    <x v="719"/>
    <s v="Kiran Kumar"/>
    <n v="5"/>
    <s v="Male"/>
    <s v="Asthma"/>
    <x v="1"/>
    <d v="2025-12-09T00:00:00"/>
    <d v="2025-12-13T00:00:00"/>
    <s v="December"/>
    <n v="4"/>
    <n v="32904"/>
  </r>
  <r>
    <x v="720"/>
    <s v="Vikas Rather"/>
    <n v="29"/>
    <s v="Female"/>
    <s v="Hypertension"/>
    <x v="7"/>
    <d v="2025-08-21T00:00:00"/>
    <d v="2025-08-26T00:00:00"/>
    <s v="August"/>
    <n v="5"/>
    <n v="52080"/>
  </r>
  <r>
    <x v="721"/>
    <s v="Rohit Verma"/>
    <n v="90"/>
    <s v="Female"/>
    <s v="Heart Disease"/>
    <x v="4"/>
    <d v="2025-09-21T00:00:00"/>
    <d v="2025-09-24T00:00:00"/>
    <s v="September"/>
    <n v="3"/>
    <n v="14544"/>
  </r>
  <r>
    <x v="722"/>
    <s v="Pooja Kapoor"/>
    <n v="62"/>
    <s v="Male"/>
    <s v="Asthma"/>
    <x v="3"/>
    <d v="2025-03-06T00:00:00"/>
    <d v="2025-03-18T00:00:00"/>
    <s v="March"/>
    <n v="12"/>
    <n v="52044"/>
  </r>
  <r>
    <x v="723"/>
    <s v="Priya Malik"/>
    <n v="90"/>
    <s v="Male"/>
    <s v="Fever"/>
    <x v="0"/>
    <d v="2025-08-04T00:00:00"/>
    <d v="2025-08-18T00:00:00"/>
    <s v="August"/>
    <n v="14"/>
    <n v="130200"/>
  </r>
  <r>
    <x v="724"/>
    <s v="Zara Sharma"/>
    <n v="12"/>
    <s v="Male"/>
    <s v="Diabetes"/>
    <x v="0"/>
    <d v="2025-01-04T00:00:00"/>
    <d v="2025-01-19T00:00:00"/>
    <s v="January"/>
    <n v="15"/>
    <n v="153480"/>
  </r>
  <r>
    <x v="725"/>
    <s v="Arjun Singh"/>
    <n v="4"/>
    <s v="Male"/>
    <s v="Kidney Stone"/>
    <x v="4"/>
    <d v="2025-12-14T00:00:00"/>
    <d v="2025-12-24T00:00:00"/>
    <s v="December"/>
    <n v="10"/>
    <n v="86490"/>
  </r>
  <r>
    <x v="726"/>
    <s v="Priya Singh"/>
    <n v="55"/>
    <s v="Male"/>
    <s v="Covid-19"/>
    <x v="6"/>
    <d v="2025-05-14T00:00:00"/>
    <d v="2025-05-28T00:00:00"/>
    <s v="May"/>
    <n v="14"/>
    <n v="103824"/>
  </r>
  <r>
    <x v="727"/>
    <s v="Aman Rather"/>
    <n v="72"/>
    <s v="Female"/>
    <s v="Heart Disease"/>
    <x v="6"/>
    <d v="2025-01-24T00:00:00"/>
    <d v="2025-02-02T00:00:00"/>
    <s v="January"/>
    <n v="9"/>
    <n v="52749"/>
  </r>
  <r>
    <x v="728"/>
    <s v="Mehak Rather"/>
    <n v="77"/>
    <s v="Female"/>
    <s v="Hypertension"/>
    <x v="2"/>
    <d v="2025-07-12T00:00:00"/>
    <d v="2025-07-13T00:00:00"/>
    <s v="July"/>
    <n v="1"/>
    <n v="11784"/>
  </r>
  <r>
    <x v="729"/>
    <s v="Neha Ali"/>
    <n v="9"/>
    <s v="Male"/>
    <s v="Asthma"/>
    <x v="4"/>
    <d v="2025-05-29T00:00:00"/>
    <d v="2025-05-30T00:00:00"/>
    <s v="May"/>
    <n v="1"/>
    <n v="10048"/>
  </r>
  <r>
    <x v="730"/>
    <s v="Kiran Ali"/>
    <n v="82"/>
    <s v="Female"/>
    <s v="Kidney Stone"/>
    <x v="5"/>
    <d v="2025-11-08T00:00:00"/>
    <d v="2025-11-14T00:00:00"/>
    <s v="November"/>
    <n v="6"/>
    <n v="53256"/>
  </r>
  <r>
    <x v="731"/>
    <s v="Imran Malik"/>
    <n v="68"/>
    <s v="Female"/>
    <s v="Migraine"/>
    <x v="6"/>
    <d v="2025-06-28T00:00:00"/>
    <d v="2025-07-06T00:00:00"/>
    <s v="June"/>
    <n v="8"/>
    <n v="78280"/>
  </r>
  <r>
    <x v="732"/>
    <s v="Vikas Khan"/>
    <n v="42"/>
    <s v="Female"/>
    <s v="Migraine"/>
    <x v="4"/>
    <d v="2025-10-23T00:00:00"/>
    <d v="2025-10-30T00:00:00"/>
    <s v="October"/>
    <n v="7"/>
    <n v="31591"/>
  </r>
  <r>
    <x v="733"/>
    <s v="Arjun Ali"/>
    <n v="9"/>
    <s v="Male"/>
    <s v="Fever"/>
    <x v="1"/>
    <d v="2025-04-29T00:00:00"/>
    <d v="2025-05-07T00:00:00"/>
    <s v="April"/>
    <n v="8"/>
    <n v="92752"/>
  </r>
  <r>
    <x v="734"/>
    <s v="Sara Kapoor"/>
    <n v="34"/>
    <s v="Male"/>
    <s v="Fever"/>
    <x v="3"/>
    <d v="2025-04-06T00:00:00"/>
    <d v="2025-04-15T00:00:00"/>
    <s v="April"/>
    <n v="9"/>
    <n v="46494"/>
  </r>
  <r>
    <x v="735"/>
    <s v="Sara Kumar"/>
    <n v="61"/>
    <s v="Female"/>
    <s v="Diabetes"/>
    <x v="1"/>
    <d v="2025-08-24T00:00:00"/>
    <d v="2025-08-31T00:00:00"/>
    <s v="August"/>
    <n v="7"/>
    <n v="80633"/>
  </r>
  <r>
    <x v="736"/>
    <s v="Adil Sharma"/>
    <n v="42"/>
    <s v="Female"/>
    <s v="Asthma"/>
    <x v="1"/>
    <d v="2025-10-18T00:00:00"/>
    <d v="2025-10-25T00:00:00"/>
    <s v="October"/>
    <n v="7"/>
    <n v="55454"/>
  </r>
  <r>
    <x v="737"/>
    <s v="Imran Khan"/>
    <n v="65"/>
    <s v="Female"/>
    <s v="Kidney Stone"/>
    <x v="6"/>
    <d v="2025-10-29T00:00:00"/>
    <d v="2025-11-05T00:00:00"/>
    <s v="October"/>
    <n v="7"/>
    <n v="59773"/>
  </r>
  <r>
    <x v="738"/>
    <s v="Adil Verma"/>
    <n v="68"/>
    <s v="Male"/>
    <s v="Diabetes"/>
    <x v="1"/>
    <d v="2025-07-28T00:00:00"/>
    <d v="2025-08-04T00:00:00"/>
    <s v="July"/>
    <n v="7"/>
    <n v="62559"/>
  </r>
  <r>
    <x v="739"/>
    <s v="Sara Kumar"/>
    <n v="26"/>
    <s v="Male"/>
    <s v="Asthma"/>
    <x v="0"/>
    <d v="2025-10-27T00:00:00"/>
    <d v="2025-10-31T00:00:00"/>
    <s v="October"/>
    <n v="4"/>
    <n v="36428"/>
  </r>
  <r>
    <x v="740"/>
    <s v="Neha Rather"/>
    <n v="40"/>
    <s v="Female"/>
    <s v="Asthma"/>
    <x v="3"/>
    <d v="2025-09-15T00:00:00"/>
    <d v="2025-09-22T00:00:00"/>
    <s v="September"/>
    <n v="7"/>
    <n v="66675"/>
  </r>
  <r>
    <x v="741"/>
    <s v="Arjun Verma"/>
    <n v="71"/>
    <s v="Female"/>
    <s v="Fever"/>
    <x v="3"/>
    <d v="2025-09-29T00:00:00"/>
    <d v="2025-10-10T00:00:00"/>
    <s v="September"/>
    <n v="11"/>
    <n v="115588"/>
  </r>
  <r>
    <x v="742"/>
    <s v="Anita Ali"/>
    <n v="76"/>
    <s v="Male"/>
    <s v="Kidney Stone"/>
    <x v="1"/>
    <d v="2025-11-30T00:00:00"/>
    <d v="2025-12-04T00:00:00"/>
    <s v="November"/>
    <n v="4"/>
    <n v="19060"/>
  </r>
  <r>
    <x v="743"/>
    <s v="Priya Rather"/>
    <n v="9"/>
    <s v="Female"/>
    <s v="Diabetes"/>
    <x v="5"/>
    <d v="2025-11-10T00:00:00"/>
    <d v="2025-11-19T00:00:00"/>
    <s v="November"/>
    <n v="9"/>
    <n v="41598"/>
  </r>
  <r>
    <x v="744"/>
    <s v="Mehak Ali"/>
    <n v="16"/>
    <s v="Male"/>
    <s v="Diabetes"/>
    <x v="1"/>
    <d v="2025-02-03T00:00:00"/>
    <d v="2025-02-04T00:00:00"/>
    <s v="February"/>
    <n v="1"/>
    <n v="11211"/>
  </r>
  <r>
    <x v="745"/>
    <s v="Vikas Khan"/>
    <n v="28"/>
    <s v="Male"/>
    <s v="Asthma"/>
    <x v="5"/>
    <d v="2025-05-11T00:00:00"/>
    <d v="2025-05-14T00:00:00"/>
    <s v="May"/>
    <n v="3"/>
    <n v="32892"/>
  </r>
  <r>
    <x v="746"/>
    <s v="Zara Kapoor"/>
    <n v="56"/>
    <s v="Female"/>
    <s v="Hypertension"/>
    <x v="3"/>
    <d v="2025-11-18T00:00:00"/>
    <d v="2025-11-26T00:00:00"/>
    <s v="November"/>
    <n v="8"/>
    <n v="63712"/>
  </r>
  <r>
    <x v="747"/>
    <s v="Sara Kapoor"/>
    <n v="13"/>
    <s v="Male"/>
    <s v="Migraine"/>
    <x v="5"/>
    <d v="2025-11-21T00:00:00"/>
    <d v="2025-12-03T00:00:00"/>
    <s v="November"/>
    <n v="12"/>
    <n v="75924"/>
  </r>
  <r>
    <x v="748"/>
    <s v="Sara Khan"/>
    <n v="46"/>
    <s v="Male"/>
    <s v="Fever"/>
    <x v="3"/>
    <d v="2025-12-19T00:00:00"/>
    <d v="2025-12-23T00:00:00"/>
    <s v="December"/>
    <n v="4"/>
    <n v="19328"/>
  </r>
  <r>
    <x v="749"/>
    <s v="Anita Malik"/>
    <n v="53"/>
    <s v="Female"/>
    <s v="Kidney Stone"/>
    <x v="1"/>
    <d v="2025-01-07T00:00:00"/>
    <d v="2025-01-18T00:00:00"/>
    <s v="January"/>
    <n v="11"/>
    <n v="86922"/>
  </r>
  <r>
    <x v="750"/>
    <s v="Rahul Malik"/>
    <n v="70"/>
    <s v="Male"/>
    <s v="Pneumonia"/>
    <x v="2"/>
    <d v="2025-07-06T00:00:00"/>
    <d v="2025-07-08T00:00:00"/>
    <s v="July"/>
    <n v="2"/>
    <n v="11636"/>
  </r>
  <r>
    <x v="751"/>
    <s v="Anita Malik"/>
    <n v="70"/>
    <s v="Female"/>
    <s v="Pneumonia"/>
    <x v="3"/>
    <d v="2025-10-15T00:00:00"/>
    <d v="2025-10-21T00:00:00"/>
    <s v="October"/>
    <n v="6"/>
    <n v="63996"/>
  </r>
  <r>
    <x v="752"/>
    <s v="Vikas Kumar"/>
    <n v="48"/>
    <s v="Female"/>
    <s v="Covid-19"/>
    <x v="2"/>
    <d v="2025-04-03T00:00:00"/>
    <d v="2025-04-04T00:00:00"/>
    <s v="April"/>
    <n v="1"/>
    <n v="8631"/>
  </r>
  <r>
    <x v="753"/>
    <s v="Adil Sharma"/>
    <n v="73"/>
    <s v="Female"/>
    <s v="Covid-19"/>
    <x v="6"/>
    <d v="2025-08-16T00:00:00"/>
    <d v="2025-08-22T00:00:00"/>
    <s v="August"/>
    <n v="6"/>
    <n v="71094"/>
  </r>
  <r>
    <x v="754"/>
    <s v="Imran Sharma"/>
    <n v="42"/>
    <s v="Male"/>
    <s v="Dengue"/>
    <x v="3"/>
    <d v="2025-07-24T00:00:00"/>
    <d v="2025-08-03T00:00:00"/>
    <s v="July"/>
    <n v="10"/>
    <n v="91350"/>
  </r>
  <r>
    <x v="755"/>
    <s v="Rahul Sharma"/>
    <n v="59"/>
    <s v="Male"/>
    <s v="Kidney Stone"/>
    <x v="4"/>
    <d v="2025-07-14T00:00:00"/>
    <d v="2025-07-29T00:00:00"/>
    <s v="July"/>
    <n v="15"/>
    <n v="172845"/>
  </r>
  <r>
    <x v="756"/>
    <s v="Imran Singh"/>
    <n v="61"/>
    <s v="Female"/>
    <s v="Heart Disease"/>
    <x v="7"/>
    <d v="2025-04-11T00:00:00"/>
    <d v="2025-04-25T00:00:00"/>
    <s v="April"/>
    <n v="14"/>
    <n v="113442"/>
  </r>
  <r>
    <x v="757"/>
    <s v="Mehak Kumar"/>
    <n v="67"/>
    <s v="Female"/>
    <s v="Asthma"/>
    <x v="7"/>
    <d v="2025-05-24T00:00:00"/>
    <d v="2025-05-30T00:00:00"/>
    <s v="May"/>
    <n v="6"/>
    <n v="68658"/>
  </r>
  <r>
    <x v="758"/>
    <s v="Arjun Verma"/>
    <n v="57"/>
    <s v="Male"/>
    <s v="Kidney Stone"/>
    <x v="4"/>
    <d v="2025-05-22T00:00:00"/>
    <d v="2025-06-03T00:00:00"/>
    <s v="May"/>
    <n v="12"/>
    <n v="129564"/>
  </r>
  <r>
    <x v="759"/>
    <s v="Imran Gupta"/>
    <n v="55"/>
    <s v="Male"/>
    <s v="Diabetes"/>
    <x v="3"/>
    <d v="2025-04-19T00:00:00"/>
    <d v="2025-04-30T00:00:00"/>
    <s v="April"/>
    <n v="11"/>
    <n v="50919"/>
  </r>
  <r>
    <x v="760"/>
    <s v="Anita Singh"/>
    <n v="15"/>
    <s v="Male"/>
    <s v="Migraine"/>
    <x v="7"/>
    <d v="2025-10-05T00:00:00"/>
    <d v="2025-10-07T00:00:00"/>
    <s v="October"/>
    <n v="2"/>
    <n v="16648"/>
  </r>
  <r>
    <x v="761"/>
    <s v="Priya Sharma"/>
    <n v="26"/>
    <s v="Male"/>
    <s v="Heart Disease"/>
    <x v="3"/>
    <d v="2025-01-15T00:00:00"/>
    <d v="2025-01-18T00:00:00"/>
    <s v="January"/>
    <n v="3"/>
    <n v="20082"/>
  </r>
  <r>
    <x v="762"/>
    <s v="Arjun Rather"/>
    <n v="36"/>
    <s v="Male"/>
    <s v="Migraine"/>
    <x v="0"/>
    <d v="2025-11-27T00:00:00"/>
    <d v="2025-12-06T00:00:00"/>
    <s v="November"/>
    <n v="9"/>
    <n v="62343"/>
  </r>
  <r>
    <x v="763"/>
    <s v="Priya Ali"/>
    <n v="2"/>
    <s v="Male"/>
    <s v="Kidney Stone"/>
    <x v="2"/>
    <d v="2025-06-13T00:00:00"/>
    <d v="2025-06-28T00:00:00"/>
    <s v="June"/>
    <n v="15"/>
    <n v="157440"/>
  </r>
  <r>
    <x v="764"/>
    <s v="Priya Gupta"/>
    <n v="43"/>
    <s v="Male"/>
    <s v="Diabetes"/>
    <x v="3"/>
    <d v="2025-02-01T00:00:00"/>
    <d v="2025-02-10T00:00:00"/>
    <s v="February"/>
    <n v="9"/>
    <n v="99198"/>
  </r>
  <r>
    <x v="765"/>
    <s v="Kiran Rather"/>
    <n v="23"/>
    <s v="Male"/>
    <s v="Asthma"/>
    <x v="3"/>
    <d v="2025-11-28T00:00:00"/>
    <d v="2025-12-05T00:00:00"/>
    <s v="November"/>
    <n v="7"/>
    <n v="66528"/>
  </r>
  <r>
    <x v="766"/>
    <s v="Aman Verma"/>
    <n v="62"/>
    <s v="Female"/>
    <s v="Kidney Stone"/>
    <x v="3"/>
    <d v="2025-12-31T00:00:00"/>
    <d v="2026-01-15T00:00:00"/>
    <s v="December"/>
    <n v="15"/>
    <n v="112320"/>
  </r>
  <r>
    <x v="767"/>
    <s v="Imran Khan"/>
    <n v="30"/>
    <s v="Female"/>
    <s v="Asthma"/>
    <x v="6"/>
    <d v="2025-01-24T00:00:00"/>
    <d v="2025-02-05T00:00:00"/>
    <s v="January"/>
    <n v="12"/>
    <n v="76164"/>
  </r>
  <r>
    <x v="768"/>
    <s v="Zara Kumar"/>
    <n v="46"/>
    <s v="Female"/>
    <s v="Heart Disease"/>
    <x v="6"/>
    <d v="2025-10-18T00:00:00"/>
    <d v="2025-10-23T00:00:00"/>
    <s v="October"/>
    <n v="5"/>
    <n v="55100"/>
  </r>
  <r>
    <x v="769"/>
    <s v="Anita Ali"/>
    <n v="59"/>
    <s v="Female"/>
    <s v="Migraine"/>
    <x v="4"/>
    <d v="2025-11-22T00:00:00"/>
    <d v="2025-11-25T00:00:00"/>
    <s v="November"/>
    <n v="3"/>
    <n v="31170"/>
  </r>
  <r>
    <x v="770"/>
    <s v="Priya Verma"/>
    <n v="5"/>
    <s v="Female"/>
    <s v="Pneumonia"/>
    <x v="7"/>
    <d v="2025-03-09T00:00:00"/>
    <d v="2025-03-10T00:00:00"/>
    <s v="March"/>
    <n v="1"/>
    <n v="11365"/>
  </r>
  <r>
    <x v="771"/>
    <s v="Mehak Verma"/>
    <n v="77"/>
    <s v="Male"/>
    <s v="Migraine"/>
    <x v="7"/>
    <d v="2025-03-05T00:00:00"/>
    <d v="2025-03-12T00:00:00"/>
    <s v="March"/>
    <n v="7"/>
    <n v="29302"/>
  </r>
  <r>
    <x v="772"/>
    <s v="Priya Malik"/>
    <n v="5"/>
    <s v="Male"/>
    <s v="Dengue"/>
    <x v="3"/>
    <d v="2025-08-21T00:00:00"/>
    <d v="2025-08-31T00:00:00"/>
    <s v="August"/>
    <n v="10"/>
    <n v="48850"/>
  </r>
  <r>
    <x v="773"/>
    <s v="Vikas Khan"/>
    <n v="30"/>
    <s v="Male"/>
    <s v="Kidney Stone"/>
    <x v="6"/>
    <d v="2025-01-27T00:00:00"/>
    <d v="2025-02-03T00:00:00"/>
    <s v="January"/>
    <n v="7"/>
    <n v="77644"/>
  </r>
  <r>
    <x v="774"/>
    <s v="Mehak Khan"/>
    <n v="22"/>
    <s v="Male"/>
    <s v="Heart Disease"/>
    <x v="2"/>
    <d v="2025-02-07T00:00:00"/>
    <d v="2025-02-18T00:00:00"/>
    <s v="February"/>
    <n v="11"/>
    <n v="71753"/>
  </r>
  <r>
    <x v="775"/>
    <s v="Imran Verma"/>
    <n v="3"/>
    <s v="Female"/>
    <s v="Fever"/>
    <x v="3"/>
    <d v="2025-09-24T00:00:00"/>
    <d v="2025-09-30T00:00:00"/>
    <s v="September"/>
    <n v="6"/>
    <n v="31056"/>
  </r>
  <r>
    <x v="776"/>
    <s v="Rohit Malik"/>
    <n v="47"/>
    <s v="Female"/>
    <s v="Migraine"/>
    <x v="4"/>
    <d v="2025-01-06T00:00:00"/>
    <d v="2025-01-09T00:00:00"/>
    <s v="January"/>
    <n v="3"/>
    <n v="17550"/>
  </r>
  <r>
    <x v="777"/>
    <s v="Kiran Gupta"/>
    <n v="14"/>
    <s v="Male"/>
    <s v="Heart Disease"/>
    <x v="3"/>
    <d v="2025-06-09T00:00:00"/>
    <d v="2025-06-13T00:00:00"/>
    <s v="June"/>
    <n v="4"/>
    <n v="43180"/>
  </r>
  <r>
    <x v="778"/>
    <s v="Kiran Ali"/>
    <n v="59"/>
    <s v="Male"/>
    <s v="Migraine"/>
    <x v="6"/>
    <d v="2025-04-08T00:00:00"/>
    <d v="2025-04-12T00:00:00"/>
    <s v="April"/>
    <n v="4"/>
    <n v="25212"/>
  </r>
  <r>
    <x v="779"/>
    <s v="Anita Khan"/>
    <n v="16"/>
    <s v="Female"/>
    <s v="Asthma"/>
    <x v="4"/>
    <d v="2025-10-08T00:00:00"/>
    <d v="2025-10-21T00:00:00"/>
    <s v="October"/>
    <n v="13"/>
    <n v="150943"/>
  </r>
  <r>
    <x v="780"/>
    <s v="Rohit Ali"/>
    <n v="18"/>
    <s v="Male"/>
    <s v="Migraine"/>
    <x v="4"/>
    <d v="2025-08-27T00:00:00"/>
    <d v="2025-09-03T00:00:00"/>
    <s v="August"/>
    <n v="7"/>
    <n v="54180"/>
  </r>
  <r>
    <x v="781"/>
    <s v="Neha Malik"/>
    <n v="45"/>
    <s v="Male"/>
    <s v="Dengue"/>
    <x v="3"/>
    <d v="2025-12-11T00:00:00"/>
    <d v="2025-12-25T00:00:00"/>
    <s v="December"/>
    <n v="14"/>
    <n v="60494"/>
  </r>
  <r>
    <x v="782"/>
    <s v="Rohit Rather"/>
    <n v="41"/>
    <s v="Male"/>
    <s v="Migraine"/>
    <x v="3"/>
    <d v="2025-06-20T00:00:00"/>
    <d v="2025-07-03T00:00:00"/>
    <s v="June"/>
    <n v="13"/>
    <n v="67041"/>
  </r>
  <r>
    <x v="783"/>
    <s v="Imran Khan"/>
    <n v="24"/>
    <s v="Female"/>
    <s v="Dengue"/>
    <x v="5"/>
    <d v="2025-12-22T00:00:00"/>
    <d v="2025-12-27T00:00:00"/>
    <s v="December"/>
    <n v="5"/>
    <n v="43265"/>
  </r>
  <r>
    <x v="784"/>
    <s v="Pooja Gupta"/>
    <n v="35"/>
    <s v="Female"/>
    <s v="Migraine"/>
    <x v="7"/>
    <d v="2025-08-01T00:00:00"/>
    <d v="2025-08-05T00:00:00"/>
    <s v="August"/>
    <n v="4"/>
    <n v="46228"/>
  </r>
  <r>
    <x v="785"/>
    <s v="Imran Gupta"/>
    <n v="83"/>
    <s v="Female"/>
    <s v="Heart Disease"/>
    <x v="5"/>
    <d v="2025-06-17T00:00:00"/>
    <d v="2025-06-25T00:00:00"/>
    <s v="June"/>
    <n v="8"/>
    <n v="94344"/>
  </r>
  <r>
    <x v="786"/>
    <s v="Rohit Gupta"/>
    <n v="58"/>
    <s v="Female"/>
    <s v="Migraine"/>
    <x v="7"/>
    <d v="2025-12-10T00:00:00"/>
    <d v="2025-12-15T00:00:00"/>
    <s v="December"/>
    <n v="5"/>
    <n v="31880"/>
  </r>
  <r>
    <x v="787"/>
    <s v="Mehak Rather"/>
    <n v="47"/>
    <s v="Male"/>
    <s v="Fever"/>
    <x v="6"/>
    <d v="2025-12-11T00:00:00"/>
    <d v="2025-12-19T00:00:00"/>
    <s v="December"/>
    <n v="8"/>
    <n v="62712"/>
  </r>
  <r>
    <x v="788"/>
    <s v="Sara Gupta"/>
    <n v="20"/>
    <s v="Male"/>
    <s v="Pneumonia"/>
    <x v="6"/>
    <d v="2025-03-15T00:00:00"/>
    <d v="2025-03-29T00:00:00"/>
    <s v="March"/>
    <n v="14"/>
    <n v="58562"/>
  </r>
  <r>
    <x v="789"/>
    <s v="Adil Malik"/>
    <n v="46"/>
    <s v="Female"/>
    <s v="Covid-19"/>
    <x v="5"/>
    <d v="2025-12-07T00:00:00"/>
    <d v="2025-12-12T00:00:00"/>
    <s v="December"/>
    <n v="5"/>
    <n v="49595"/>
  </r>
  <r>
    <x v="790"/>
    <s v="Kiran Khan"/>
    <n v="33"/>
    <s v="Male"/>
    <s v="Diabetes"/>
    <x v="6"/>
    <d v="2025-01-29T00:00:00"/>
    <d v="2025-02-09T00:00:00"/>
    <s v="January"/>
    <n v="11"/>
    <n v="44484"/>
  </r>
  <r>
    <x v="791"/>
    <s v="Arjun Verma"/>
    <n v="1"/>
    <s v="Male"/>
    <s v="Hypertension"/>
    <x v="6"/>
    <d v="2025-07-04T00:00:00"/>
    <d v="2025-07-10T00:00:00"/>
    <s v="July"/>
    <n v="6"/>
    <n v="44532"/>
  </r>
  <r>
    <x v="792"/>
    <s v="Mehak Sharma"/>
    <n v="6"/>
    <s v="Male"/>
    <s v="Kidney Stone"/>
    <x v="7"/>
    <d v="2025-12-22T00:00:00"/>
    <d v="2025-12-23T00:00:00"/>
    <s v="December"/>
    <n v="1"/>
    <n v="5316"/>
  </r>
  <r>
    <x v="793"/>
    <s v="Aman Sharma"/>
    <n v="15"/>
    <s v="Male"/>
    <s v="Heart Disease"/>
    <x v="3"/>
    <d v="2025-08-22T00:00:00"/>
    <d v="2025-08-26T00:00:00"/>
    <s v="August"/>
    <n v="4"/>
    <n v="37256"/>
  </r>
  <r>
    <x v="794"/>
    <s v="Sara Malik"/>
    <n v="51"/>
    <s v="Female"/>
    <s v="Hypertension"/>
    <x v="4"/>
    <d v="2025-10-03T00:00:00"/>
    <d v="2025-10-09T00:00:00"/>
    <s v="October"/>
    <n v="6"/>
    <n v="65058"/>
  </r>
  <r>
    <x v="795"/>
    <s v="Arjun Khan"/>
    <n v="26"/>
    <s v="Female"/>
    <s v="Migraine"/>
    <x v="4"/>
    <d v="2025-04-11T00:00:00"/>
    <d v="2025-04-18T00:00:00"/>
    <s v="April"/>
    <n v="7"/>
    <n v="39480"/>
  </r>
  <r>
    <x v="796"/>
    <s v="Pooja Verma"/>
    <n v="49"/>
    <s v="Male"/>
    <s v="Hypertension"/>
    <x v="1"/>
    <d v="2025-10-04T00:00:00"/>
    <d v="2025-10-16T00:00:00"/>
    <s v="October"/>
    <n v="12"/>
    <n v="63372"/>
  </r>
  <r>
    <x v="797"/>
    <s v="Rahul Malik"/>
    <n v="88"/>
    <s v="Male"/>
    <s v="Hypertension"/>
    <x v="2"/>
    <d v="2025-08-18T00:00:00"/>
    <d v="2025-08-24T00:00:00"/>
    <s v="August"/>
    <n v="6"/>
    <n v="35850"/>
  </r>
  <r>
    <x v="798"/>
    <s v="Adil Verma"/>
    <n v="90"/>
    <s v="Male"/>
    <s v="Asthma"/>
    <x v="2"/>
    <d v="2025-05-20T00:00:00"/>
    <d v="2025-05-21T00:00:00"/>
    <s v="May"/>
    <n v="1"/>
    <n v="6887"/>
  </r>
  <r>
    <x v="799"/>
    <s v="Adil Rather"/>
    <n v="35"/>
    <s v="Male"/>
    <s v="Fever"/>
    <x v="7"/>
    <d v="2025-06-17T00:00:00"/>
    <d v="2025-06-28T00:00:00"/>
    <s v="June"/>
    <n v="11"/>
    <n v="59686"/>
  </r>
  <r>
    <x v="800"/>
    <s v="Arjun Khan"/>
    <n v="72"/>
    <s v="Male"/>
    <s v="Covid-19"/>
    <x v="2"/>
    <d v="2025-12-30T00:00:00"/>
    <d v="2026-01-10T00:00:00"/>
    <s v="December"/>
    <n v="11"/>
    <n v="112112"/>
  </r>
  <r>
    <x v="801"/>
    <s v="Rohit Verma"/>
    <n v="67"/>
    <s v="Male"/>
    <s v="Migraine"/>
    <x v="7"/>
    <d v="2025-02-04T00:00:00"/>
    <d v="2025-02-06T00:00:00"/>
    <s v="February"/>
    <n v="2"/>
    <n v="18978"/>
  </r>
  <r>
    <x v="802"/>
    <s v="Vikas Kapoor"/>
    <n v="78"/>
    <s v="Male"/>
    <s v="Heart Disease"/>
    <x v="0"/>
    <d v="2025-07-12T00:00:00"/>
    <d v="2025-07-22T00:00:00"/>
    <s v="July"/>
    <n v="10"/>
    <n v="111170"/>
  </r>
  <r>
    <x v="803"/>
    <s v="Neha Ali"/>
    <n v="67"/>
    <s v="Female"/>
    <s v="Pneumonia"/>
    <x v="2"/>
    <d v="2025-08-06T00:00:00"/>
    <d v="2025-08-18T00:00:00"/>
    <s v="August"/>
    <n v="12"/>
    <n v="98232"/>
  </r>
  <r>
    <x v="804"/>
    <s v="Aman Malik"/>
    <n v="25"/>
    <s v="Male"/>
    <s v="Kidney Stone"/>
    <x v="1"/>
    <d v="2025-10-11T00:00:00"/>
    <d v="2025-10-24T00:00:00"/>
    <s v="October"/>
    <n v="13"/>
    <n v="144612"/>
  </r>
  <r>
    <x v="805"/>
    <s v="Rohit Malik"/>
    <n v="17"/>
    <s v="Female"/>
    <s v="Heart Disease"/>
    <x v="6"/>
    <d v="2025-01-27T00:00:00"/>
    <d v="2025-01-29T00:00:00"/>
    <s v="January"/>
    <n v="2"/>
    <n v="23010"/>
  </r>
  <r>
    <x v="806"/>
    <s v="Neha Malik"/>
    <n v="19"/>
    <s v="Female"/>
    <s v="Covid-19"/>
    <x v="7"/>
    <d v="2025-08-07T00:00:00"/>
    <d v="2025-08-09T00:00:00"/>
    <s v="August"/>
    <n v="2"/>
    <n v="19128"/>
  </r>
  <r>
    <x v="807"/>
    <s v="Mehak Ali"/>
    <n v="4"/>
    <s v="Male"/>
    <s v="Dengue"/>
    <x v="0"/>
    <d v="2025-05-30T00:00:00"/>
    <d v="2025-06-14T00:00:00"/>
    <s v="May"/>
    <n v="15"/>
    <n v="122370"/>
  </r>
  <r>
    <x v="808"/>
    <s v="Aman Kapoor"/>
    <n v="64"/>
    <s v="Male"/>
    <s v="Kidney Stone"/>
    <x v="5"/>
    <d v="2025-03-26T00:00:00"/>
    <d v="2025-03-30T00:00:00"/>
    <s v="March"/>
    <n v="4"/>
    <n v="40596"/>
  </r>
  <r>
    <x v="809"/>
    <s v="Pooja Sharma"/>
    <n v="40"/>
    <s v="Female"/>
    <s v="Diabetes"/>
    <x v="3"/>
    <d v="2025-11-03T00:00:00"/>
    <d v="2025-11-06T00:00:00"/>
    <s v="November"/>
    <n v="3"/>
    <n v="33441"/>
  </r>
  <r>
    <x v="810"/>
    <s v="Rohit Khan"/>
    <n v="76"/>
    <s v="Male"/>
    <s v="Heart Disease"/>
    <x v="7"/>
    <d v="2025-04-11T00:00:00"/>
    <d v="2025-04-15T00:00:00"/>
    <s v="April"/>
    <n v="4"/>
    <n v="40644"/>
  </r>
  <r>
    <x v="811"/>
    <s v="Mehak Sharma"/>
    <n v="3"/>
    <s v="Male"/>
    <s v="Dengue"/>
    <x v="7"/>
    <d v="2025-07-19T00:00:00"/>
    <d v="2025-07-26T00:00:00"/>
    <s v="July"/>
    <n v="7"/>
    <n v="32305"/>
  </r>
  <r>
    <x v="812"/>
    <s v="Arjun Khan"/>
    <n v="43"/>
    <s v="Male"/>
    <s v="Hypertension"/>
    <x v="6"/>
    <d v="2025-04-03T00:00:00"/>
    <d v="2025-04-12T00:00:00"/>
    <s v="April"/>
    <n v="9"/>
    <n v="104328"/>
  </r>
  <r>
    <x v="813"/>
    <s v="Mehak Ali"/>
    <n v="19"/>
    <s v="Female"/>
    <s v="Heart Disease"/>
    <x v="2"/>
    <d v="2025-02-10T00:00:00"/>
    <d v="2025-02-17T00:00:00"/>
    <s v="February"/>
    <n v="7"/>
    <n v="55062"/>
  </r>
  <r>
    <x v="814"/>
    <s v="Priya Kumar"/>
    <n v="50"/>
    <s v="Female"/>
    <s v="Diabetes"/>
    <x v="3"/>
    <d v="2025-11-29T00:00:00"/>
    <d v="2025-12-12T00:00:00"/>
    <s v="November"/>
    <n v="13"/>
    <n v="62569"/>
  </r>
  <r>
    <x v="815"/>
    <s v="Zara Gupta"/>
    <n v="53"/>
    <s v="Female"/>
    <s v="Heart Disease"/>
    <x v="5"/>
    <d v="2025-01-19T00:00:00"/>
    <d v="2025-01-31T00:00:00"/>
    <s v="January"/>
    <n v="12"/>
    <n v="116772"/>
  </r>
  <r>
    <x v="816"/>
    <s v="Priya Singh"/>
    <n v="39"/>
    <s v="Male"/>
    <s v="Migraine"/>
    <x v="3"/>
    <d v="2025-09-06T00:00:00"/>
    <d v="2025-09-11T00:00:00"/>
    <s v="September"/>
    <n v="5"/>
    <n v="26745"/>
  </r>
  <r>
    <x v="817"/>
    <s v="Zara Kumar"/>
    <n v="20"/>
    <s v="Male"/>
    <s v="Migraine"/>
    <x v="3"/>
    <d v="2025-02-21T00:00:00"/>
    <d v="2025-02-28T00:00:00"/>
    <s v="February"/>
    <n v="7"/>
    <n v="38738"/>
  </r>
  <r>
    <x v="818"/>
    <s v="Vikas Verma"/>
    <n v="86"/>
    <s v="Female"/>
    <s v="Covid-19"/>
    <x v="0"/>
    <d v="2025-09-23T00:00:00"/>
    <d v="2025-09-24T00:00:00"/>
    <s v="September"/>
    <n v="1"/>
    <n v="4917"/>
  </r>
  <r>
    <x v="819"/>
    <s v="Adil Verma"/>
    <n v="33"/>
    <s v="Male"/>
    <s v="Covid-19"/>
    <x v="4"/>
    <d v="2025-11-29T00:00:00"/>
    <d v="2025-12-14T00:00:00"/>
    <s v="November"/>
    <n v="15"/>
    <n v="86550"/>
  </r>
  <r>
    <x v="820"/>
    <s v="Kiran Ali"/>
    <n v="78"/>
    <s v="Female"/>
    <s v="Kidney Stone"/>
    <x v="0"/>
    <d v="2025-02-12T00:00:00"/>
    <d v="2025-02-22T00:00:00"/>
    <s v="February"/>
    <n v="10"/>
    <n v="40790"/>
  </r>
  <r>
    <x v="821"/>
    <s v="Pooja Singh"/>
    <n v="5"/>
    <s v="Female"/>
    <s v="Pneumonia"/>
    <x v="6"/>
    <d v="2025-09-09T00:00:00"/>
    <d v="2025-09-14T00:00:00"/>
    <s v="September"/>
    <n v="5"/>
    <n v="36245"/>
  </r>
  <r>
    <x v="822"/>
    <s v="Zara Ali"/>
    <n v="2"/>
    <s v="Male"/>
    <s v="Dengue"/>
    <x v="3"/>
    <d v="2025-02-19T00:00:00"/>
    <d v="2025-02-27T00:00:00"/>
    <s v="February"/>
    <n v="8"/>
    <n v="82880"/>
  </r>
  <r>
    <x v="823"/>
    <s v="Rohit Ali"/>
    <n v="84"/>
    <s v="Female"/>
    <s v="Pneumonia"/>
    <x v="6"/>
    <d v="2025-04-14T00:00:00"/>
    <d v="2025-04-28T00:00:00"/>
    <s v="April"/>
    <n v="14"/>
    <n v="103502"/>
  </r>
  <r>
    <x v="824"/>
    <s v="Pooja Ali"/>
    <n v="27"/>
    <s v="Female"/>
    <s v="Kidney Stone"/>
    <x v="0"/>
    <d v="2025-05-30T00:00:00"/>
    <d v="2025-06-14T00:00:00"/>
    <s v="May"/>
    <n v="15"/>
    <n v="105075"/>
  </r>
  <r>
    <x v="825"/>
    <s v="Vikas Singh"/>
    <n v="11"/>
    <s v="Female"/>
    <s v="Diabetes"/>
    <x v="0"/>
    <d v="2025-11-25T00:00:00"/>
    <d v="2025-12-10T00:00:00"/>
    <s v="November"/>
    <n v="15"/>
    <n v="142875"/>
  </r>
  <r>
    <x v="826"/>
    <s v="Vikas Gupta"/>
    <n v="3"/>
    <s v="Female"/>
    <s v="Covid-19"/>
    <x v="5"/>
    <d v="2025-10-10T00:00:00"/>
    <d v="2025-10-21T00:00:00"/>
    <s v="October"/>
    <n v="11"/>
    <n v="51854"/>
  </r>
  <r>
    <x v="827"/>
    <s v="Vikas Singh"/>
    <n v="80"/>
    <s v="Female"/>
    <s v="Kidney Stone"/>
    <x v="1"/>
    <d v="2025-03-15T00:00:00"/>
    <d v="2025-03-24T00:00:00"/>
    <s v="March"/>
    <n v="9"/>
    <n v="101448"/>
  </r>
  <r>
    <x v="828"/>
    <s v="Arjun Khan"/>
    <n v="50"/>
    <s v="Male"/>
    <s v="Hypertension"/>
    <x v="1"/>
    <d v="2025-05-07T00:00:00"/>
    <d v="2025-05-16T00:00:00"/>
    <s v="May"/>
    <n v="9"/>
    <n v="89802"/>
  </r>
  <r>
    <x v="829"/>
    <s v="Sara Rather"/>
    <n v="13"/>
    <s v="Female"/>
    <s v="Migraine"/>
    <x v="2"/>
    <d v="2025-10-21T00:00:00"/>
    <d v="2025-11-05T00:00:00"/>
    <s v="October"/>
    <n v="15"/>
    <n v="123870"/>
  </r>
  <r>
    <x v="830"/>
    <s v="Zara Ali"/>
    <n v="88"/>
    <s v="Male"/>
    <s v="Heart Disease"/>
    <x v="5"/>
    <d v="2025-03-23T00:00:00"/>
    <d v="2025-03-26T00:00:00"/>
    <s v="March"/>
    <n v="3"/>
    <n v="26916"/>
  </r>
  <r>
    <x v="831"/>
    <s v="Aman Singh"/>
    <n v="16"/>
    <s v="Female"/>
    <s v="Fever"/>
    <x v="4"/>
    <d v="2025-12-25T00:00:00"/>
    <d v="2026-01-01T00:00:00"/>
    <s v="December"/>
    <n v="7"/>
    <n v="40978"/>
  </r>
  <r>
    <x v="832"/>
    <s v="Rohit Ali"/>
    <n v="15"/>
    <s v="Female"/>
    <s v="Pneumonia"/>
    <x v="3"/>
    <d v="2025-03-06T00:00:00"/>
    <d v="2025-03-09T00:00:00"/>
    <s v="March"/>
    <n v="3"/>
    <n v="15237"/>
  </r>
  <r>
    <x v="833"/>
    <s v="Pooja Khan"/>
    <n v="9"/>
    <s v="Male"/>
    <s v="Covid-19"/>
    <x v="4"/>
    <d v="2025-06-04T00:00:00"/>
    <d v="2025-06-06T00:00:00"/>
    <s v="June"/>
    <n v="2"/>
    <n v="17788"/>
  </r>
  <r>
    <x v="834"/>
    <s v="Aman Sharma"/>
    <n v="65"/>
    <s v="Female"/>
    <s v="Diabetes"/>
    <x v="2"/>
    <d v="2025-08-23T00:00:00"/>
    <d v="2025-09-01T00:00:00"/>
    <s v="August"/>
    <n v="9"/>
    <n v="97650"/>
  </r>
  <r>
    <x v="835"/>
    <s v="Neha Kapoor"/>
    <n v="58"/>
    <s v="Female"/>
    <s v="Diabetes"/>
    <x v="5"/>
    <d v="2025-04-08T00:00:00"/>
    <d v="2025-04-22T00:00:00"/>
    <s v="April"/>
    <n v="14"/>
    <n v="79352"/>
  </r>
  <r>
    <x v="836"/>
    <s v="Vikas Kapoor"/>
    <n v="82"/>
    <s v="Female"/>
    <s v="Diabetes"/>
    <x v="7"/>
    <d v="2025-04-04T00:00:00"/>
    <d v="2025-04-12T00:00:00"/>
    <s v="April"/>
    <n v="8"/>
    <n v="46616"/>
  </r>
  <r>
    <x v="837"/>
    <s v="Imran Kumar"/>
    <n v="68"/>
    <s v="Female"/>
    <s v="Asthma"/>
    <x v="1"/>
    <d v="2025-11-22T00:00:00"/>
    <d v="2025-12-04T00:00:00"/>
    <s v="November"/>
    <n v="12"/>
    <n v="86508"/>
  </r>
  <r>
    <x v="838"/>
    <s v="Arjun Singh"/>
    <n v="22"/>
    <s v="Male"/>
    <s v="Diabetes"/>
    <x v="1"/>
    <d v="2025-03-19T00:00:00"/>
    <d v="2025-04-03T00:00:00"/>
    <s v="March"/>
    <n v="15"/>
    <n v="80880"/>
  </r>
  <r>
    <x v="839"/>
    <s v="Vikas Sharma"/>
    <n v="76"/>
    <s v="Female"/>
    <s v="Heart Disease"/>
    <x v="6"/>
    <d v="2025-03-15T00:00:00"/>
    <d v="2025-03-24T00:00:00"/>
    <s v="March"/>
    <n v="9"/>
    <n v="57294"/>
  </r>
  <r>
    <x v="840"/>
    <s v="Anita Gupta"/>
    <n v="85"/>
    <s v="Male"/>
    <s v="Asthma"/>
    <x v="0"/>
    <d v="2025-12-13T00:00:00"/>
    <d v="2025-12-14T00:00:00"/>
    <s v="December"/>
    <n v="1"/>
    <n v="10835"/>
  </r>
  <r>
    <x v="841"/>
    <s v="Mehak Kapoor"/>
    <n v="54"/>
    <s v="Male"/>
    <s v="Pneumonia"/>
    <x v="1"/>
    <d v="2025-11-16T00:00:00"/>
    <d v="2025-11-20T00:00:00"/>
    <s v="November"/>
    <n v="4"/>
    <n v="22432"/>
  </r>
  <r>
    <x v="842"/>
    <s v="Imran Singh"/>
    <n v="22"/>
    <s v="Female"/>
    <s v="Dengue"/>
    <x v="2"/>
    <d v="2025-07-04T00:00:00"/>
    <d v="2025-07-12T00:00:00"/>
    <s v="July"/>
    <n v="8"/>
    <n v="59424"/>
  </r>
  <r>
    <x v="843"/>
    <s v="Sara Khan"/>
    <n v="31"/>
    <s v="Female"/>
    <s v="Asthma"/>
    <x v="2"/>
    <d v="2025-09-25T00:00:00"/>
    <d v="2025-10-03T00:00:00"/>
    <s v="September"/>
    <n v="8"/>
    <n v="82504"/>
  </r>
  <r>
    <x v="844"/>
    <s v="Adil Ali"/>
    <n v="44"/>
    <s v="Male"/>
    <s v="Asthma"/>
    <x v="6"/>
    <d v="2025-11-12T00:00:00"/>
    <d v="2025-11-14T00:00:00"/>
    <s v="November"/>
    <n v="2"/>
    <n v="13052"/>
  </r>
  <r>
    <x v="845"/>
    <s v="Rahul Rather"/>
    <n v="84"/>
    <s v="Female"/>
    <s v="Fever"/>
    <x v="5"/>
    <d v="2025-07-31T00:00:00"/>
    <d v="2025-08-08T00:00:00"/>
    <s v="July"/>
    <n v="8"/>
    <n v="86608"/>
  </r>
  <r>
    <x v="846"/>
    <s v="Zara Rather"/>
    <n v="74"/>
    <s v="Female"/>
    <s v="Fever"/>
    <x v="7"/>
    <d v="2025-07-24T00:00:00"/>
    <d v="2025-08-07T00:00:00"/>
    <s v="July"/>
    <n v="14"/>
    <n v="139188"/>
  </r>
  <r>
    <x v="847"/>
    <s v="Priya Rather"/>
    <n v="59"/>
    <s v="Male"/>
    <s v="Diabetes"/>
    <x v="3"/>
    <d v="2025-11-18T00:00:00"/>
    <d v="2025-11-29T00:00:00"/>
    <s v="November"/>
    <n v="11"/>
    <n v="51777"/>
  </r>
  <r>
    <x v="848"/>
    <s v="Mehak Kumar"/>
    <n v="27"/>
    <s v="Male"/>
    <s v="Diabetes"/>
    <x v="3"/>
    <d v="2025-06-01T00:00:00"/>
    <d v="2025-06-08T00:00:00"/>
    <s v="June"/>
    <n v="7"/>
    <n v="60368"/>
  </r>
  <r>
    <x v="849"/>
    <s v="Imran Gupta"/>
    <n v="88"/>
    <s v="Male"/>
    <s v="Covid-19"/>
    <x v="6"/>
    <d v="2025-05-31T00:00:00"/>
    <d v="2025-06-12T00:00:00"/>
    <s v="May"/>
    <n v="12"/>
    <n v="53004"/>
  </r>
  <r>
    <x v="850"/>
    <s v="Priya Khan"/>
    <n v="54"/>
    <s v="Male"/>
    <s v="Heart Disease"/>
    <x v="3"/>
    <d v="2025-01-16T00:00:00"/>
    <d v="2025-01-18T00:00:00"/>
    <s v="January"/>
    <n v="2"/>
    <n v="12604"/>
  </r>
  <r>
    <x v="851"/>
    <s v="Vikas Kapoor"/>
    <n v="14"/>
    <s v="Female"/>
    <s v="Dengue"/>
    <x v="6"/>
    <d v="2025-02-04T00:00:00"/>
    <d v="2025-02-14T00:00:00"/>
    <s v="February"/>
    <n v="10"/>
    <n v="71500"/>
  </r>
  <r>
    <x v="852"/>
    <s v="Rohit Ali"/>
    <n v="68"/>
    <s v="Female"/>
    <s v="Dengue"/>
    <x v="5"/>
    <d v="2025-05-21T00:00:00"/>
    <d v="2025-05-27T00:00:00"/>
    <s v="May"/>
    <n v="6"/>
    <n v="46854"/>
  </r>
  <r>
    <x v="853"/>
    <s v="Mehak Singh"/>
    <n v="6"/>
    <s v="Female"/>
    <s v="Hypertension"/>
    <x v="6"/>
    <d v="2025-05-24T00:00:00"/>
    <d v="2025-05-28T00:00:00"/>
    <s v="May"/>
    <n v="4"/>
    <n v="19852"/>
  </r>
  <r>
    <x v="854"/>
    <s v="Rahul Gupta"/>
    <n v="5"/>
    <s v="Male"/>
    <s v="Dengue"/>
    <x v="4"/>
    <d v="2025-09-09T00:00:00"/>
    <d v="2025-09-17T00:00:00"/>
    <s v="September"/>
    <n v="8"/>
    <n v="51592"/>
  </r>
  <r>
    <x v="855"/>
    <s v="Priya Kapoor"/>
    <n v="31"/>
    <s v="Male"/>
    <s v="Heart Disease"/>
    <x v="6"/>
    <d v="2025-01-05T00:00:00"/>
    <d v="2025-01-14T00:00:00"/>
    <s v="January"/>
    <n v="9"/>
    <n v="48186"/>
  </r>
  <r>
    <x v="856"/>
    <s v="Neha Sharma"/>
    <n v="58"/>
    <s v="Male"/>
    <s v="Fever"/>
    <x v="7"/>
    <d v="2025-11-01T00:00:00"/>
    <d v="2025-11-04T00:00:00"/>
    <s v="November"/>
    <n v="3"/>
    <n v="23580"/>
  </r>
  <r>
    <x v="857"/>
    <s v="Rahul Ali"/>
    <n v="10"/>
    <s v="Male"/>
    <s v="Hypertension"/>
    <x v="7"/>
    <d v="2025-07-14T00:00:00"/>
    <d v="2025-07-16T00:00:00"/>
    <s v="July"/>
    <n v="2"/>
    <n v="11326"/>
  </r>
  <r>
    <x v="858"/>
    <s v="Adil Rather"/>
    <n v="33"/>
    <s v="Male"/>
    <s v="Fever"/>
    <x v="1"/>
    <d v="2025-11-26T00:00:00"/>
    <d v="2025-12-09T00:00:00"/>
    <s v="November"/>
    <n v="13"/>
    <n v="145535"/>
  </r>
  <r>
    <x v="859"/>
    <s v="Sara Malik"/>
    <n v="72"/>
    <s v="Female"/>
    <s v="Heart Disease"/>
    <x v="4"/>
    <d v="2025-08-29T00:00:00"/>
    <d v="2025-09-03T00:00:00"/>
    <s v="August"/>
    <n v="5"/>
    <n v="20170"/>
  </r>
  <r>
    <x v="860"/>
    <s v="Aman Kumar"/>
    <n v="41"/>
    <s v="Male"/>
    <s v="Asthma"/>
    <x v="7"/>
    <d v="2025-08-06T00:00:00"/>
    <d v="2025-08-12T00:00:00"/>
    <s v="August"/>
    <n v="6"/>
    <n v="46104"/>
  </r>
  <r>
    <x v="861"/>
    <s v="Aman Khan"/>
    <n v="41"/>
    <s v="Male"/>
    <s v="Heart Disease"/>
    <x v="5"/>
    <d v="2025-03-11T00:00:00"/>
    <d v="2025-03-20T00:00:00"/>
    <s v="March"/>
    <n v="9"/>
    <n v="66042"/>
  </r>
  <r>
    <x v="862"/>
    <s v="Imran Kapoor"/>
    <n v="39"/>
    <s v="Female"/>
    <s v="Fever"/>
    <x v="4"/>
    <d v="2025-02-26T00:00:00"/>
    <d v="2025-03-05T00:00:00"/>
    <s v="February"/>
    <n v="7"/>
    <n v="80283"/>
  </r>
  <r>
    <x v="863"/>
    <s v="Neha Rather"/>
    <n v="74"/>
    <s v="Male"/>
    <s v="Migraine"/>
    <x v="7"/>
    <d v="2025-12-31T00:00:00"/>
    <d v="2026-01-03T00:00:00"/>
    <s v="December"/>
    <n v="3"/>
    <n v="12231"/>
  </r>
  <r>
    <x v="864"/>
    <s v="Mehak Sharma"/>
    <n v="90"/>
    <s v="Female"/>
    <s v="Covid-19"/>
    <x v="7"/>
    <d v="2025-03-12T00:00:00"/>
    <d v="2025-03-26T00:00:00"/>
    <s v="March"/>
    <n v="14"/>
    <n v="69076"/>
  </r>
  <r>
    <x v="865"/>
    <s v="Priya Khan"/>
    <n v="18"/>
    <s v="Male"/>
    <s v="Heart Disease"/>
    <x v="0"/>
    <d v="2025-03-27T00:00:00"/>
    <d v="2025-04-04T00:00:00"/>
    <s v="March"/>
    <n v="8"/>
    <n v="39544"/>
  </r>
  <r>
    <x v="866"/>
    <s v="Adil Gupta"/>
    <n v="36"/>
    <s v="Male"/>
    <s v="Kidney Stone"/>
    <x v="1"/>
    <d v="2025-02-11T00:00:00"/>
    <d v="2025-02-14T00:00:00"/>
    <s v="February"/>
    <n v="3"/>
    <n v="18330"/>
  </r>
  <r>
    <x v="867"/>
    <s v="Priya Gupta"/>
    <n v="31"/>
    <s v="Male"/>
    <s v="Covid-19"/>
    <x v="2"/>
    <d v="2025-01-16T00:00:00"/>
    <d v="2025-01-29T00:00:00"/>
    <s v="January"/>
    <n v="13"/>
    <n v="79846"/>
  </r>
  <r>
    <x v="868"/>
    <s v="Rohit Malik"/>
    <n v="4"/>
    <s v="Male"/>
    <s v="Covid-19"/>
    <x v="3"/>
    <d v="2025-04-08T00:00:00"/>
    <d v="2025-04-11T00:00:00"/>
    <s v="April"/>
    <n v="3"/>
    <n v="19236"/>
  </r>
  <r>
    <x v="869"/>
    <s v="Aman Gupta"/>
    <n v="28"/>
    <s v="Male"/>
    <s v="Kidney Stone"/>
    <x v="5"/>
    <d v="2025-02-07T00:00:00"/>
    <d v="2025-02-17T00:00:00"/>
    <s v="February"/>
    <n v="10"/>
    <n v="57630"/>
  </r>
  <r>
    <x v="870"/>
    <s v="Imran Sharma"/>
    <n v="17"/>
    <s v="Male"/>
    <s v="Kidney Stone"/>
    <x v="2"/>
    <d v="2025-03-27T00:00:00"/>
    <d v="2025-04-08T00:00:00"/>
    <s v="March"/>
    <n v="12"/>
    <n v="49452"/>
  </r>
  <r>
    <x v="871"/>
    <s v="Neha Gupta"/>
    <n v="15"/>
    <s v="Male"/>
    <s v="Heart Disease"/>
    <x v="6"/>
    <d v="2025-05-12T00:00:00"/>
    <d v="2025-05-17T00:00:00"/>
    <s v="May"/>
    <n v="5"/>
    <n v="31740"/>
  </r>
  <r>
    <x v="872"/>
    <s v="Anita Kapoor"/>
    <n v="46"/>
    <s v="Female"/>
    <s v="Covid-19"/>
    <x v="2"/>
    <d v="2025-10-29T00:00:00"/>
    <d v="2025-11-10T00:00:00"/>
    <s v="October"/>
    <n v="12"/>
    <n v="142776"/>
  </r>
  <r>
    <x v="873"/>
    <s v="Anita Verma"/>
    <n v="14"/>
    <s v="Male"/>
    <s v="Diabetes"/>
    <x v="0"/>
    <d v="2025-03-25T00:00:00"/>
    <d v="2025-03-29T00:00:00"/>
    <s v="March"/>
    <n v="4"/>
    <n v="37524"/>
  </r>
  <r>
    <x v="874"/>
    <s v="Sara Rather"/>
    <n v="44"/>
    <s v="Male"/>
    <s v="Migraine"/>
    <x v="3"/>
    <d v="2025-07-14T00:00:00"/>
    <d v="2025-07-26T00:00:00"/>
    <s v="July"/>
    <n v="12"/>
    <n v="107220"/>
  </r>
  <r>
    <x v="875"/>
    <s v="Pooja Kumar"/>
    <n v="40"/>
    <s v="Female"/>
    <s v="Kidney Stone"/>
    <x v="4"/>
    <d v="2025-12-28T00:00:00"/>
    <d v="2026-01-06T00:00:00"/>
    <s v="December"/>
    <n v="9"/>
    <n v="86904"/>
  </r>
  <r>
    <x v="876"/>
    <s v="Pooja Malik"/>
    <n v="14"/>
    <s v="Female"/>
    <s v="Covid-19"/>
    <x v="5"/>
    <d v="2025-02-08T00:00:00"/>
    <d v="2025-02-14T00:00:00"/>
    <s v="February"/>
    <n v="6"/>
    <n v="32190"/>
  </r>
  <r>
    <x v="877"/>
    <s v="Rohit Sharma"/>
    <n v="45"/>
    <s v="Male"/>
    <s v="Diabetes"/>
    <x v="5"/>
    <d v="2025-08-21T00:00:00"/>
    <d v="2025-08-24T00:00:00"/>
    <s v="August"/>
    <n v="3"/>
    <n v="21720"/>
  </r>
  <r>
    <x v="878"/>
    <s v="Vikas Kumar"/>
    <n v="73"/>
    <s v="Female"/>
    <s v="Fever"/>
    <x v="0"/>
    <d v="2025-02-15T00:00:00"/>
    <d v="2025-02-20T00:00:00"/>
    <s v="February"/>
    <n v="5"/>
    <n v="41505"/>
  </r>
  <r>
    <x v="879"/>
    <s v="Kiran Singh"/>
    <n v="23"/>
    <s v="Male"/>
    <s v="Pneumonia"/>
    <x v="3"/>
    <d v="2025-02-18T00:00:00"/>
    <d v="2025-02-19T00:00:00"/>
    <s v="February"/>
    <n v="1"/>
    <n v="11113"/>
  </r>
  <r>
    <x v="880"/>
    <s v="Arjun Khan"/>
    <n v="38"/>
    <s v="Female"/>
    <s v="Dengue"/>
    <x v="3"/>
    <d v="2025-06-26T00:00:00"/>
    <d v="2025-07-07T00:00:00"/>
    <s v="June"/>
    <n v="11"/>
    <n v="116336"/>
  </r>
  <r>
    <x v="881"/>
    <s v="Sara Khan"/>
    <n v="8"/>
    <s v="Male"/>
    <s v="Fever"/>
    <x v="5"/>
    <d v="2025-01-09T00:00:00"/>
    <d v="2025-01-13T00:00:00"/>
    <s v="January"/>
    <n v="4"/>
    <n v="29236"/>
  </r>
  <r>
    <x v="882"/>
    <s v="Vikas Kapoor"/>
    <n v="80"/>
    <s v="Male"/>
    <s v="Diabetes"/>
    <x v="2"/>
    <d v="2025-12-13T00:00:00"/>
    <d v="2025-12-20T00:00:00"/>
    <s v="December"/>
    <n v="7"/>
    <n v="61901"/>
  </r>
  <r>
    <x v="883"/>
    <s v="Rohit Khan"/>
    <n v="4"/>
    <s v="Female"/>
    <s v="Fever"/>
    <x v="4"/>
    <d v="2025-04-13T00:00:00"/>
    <d v="2025-04-24T00:00:00"/>
    <s v="April"/>
    <n v="11"/>
    <n v="62898"/>
  </r>
  <r>
    <x v="884"/>
    <s v="Adil Verma"/>
    <n v="83"/>
    <s v="Female"/>
    <s v="Migraine"/>
    <x v="1"/>
    <d v="2025-10-17T00:00:00"/>
    <d v="2025-10-31T00:00:00"/>
    <s v="October"/>
    <n v="14"/>
    <n v="150094"/>
  </r>
  <r>
    <x v="885"/>
    <s v="Neha Singh"/>
    <n v="31"/>
    <s v="Male"/>
    <s v="Migraine"/>
    <x v="7"/>
    <d v="2025-09-04T00:00:00"/>
    <d v="2025-09-11T00:00:00"/>
    <s v="September"/>
    <n v="7"/>
    <n v="40334"/>
  </r>
  <r>
    <x v="886"/>
    <s v="Rahul Malik"/>
    <n v="24"/>
    <s v="Male"/>
    <s v="Hypertension"/>
    <x v="4"/>
    <d v="2025-04-23T00:00:00"/>
    <d v="2025-05-02T00:00:00"/>
    <s v="April"/>
    <n v="9"/>
    <n v="105921"/>
  </r>
  <r>
    <x v="887"/>
    <s v="Sara Ali"/>
    <n v="7"/>
    <s v="Female"/>
    <s v="Migraine"/>
    <x v="7"/>
    <d v="2025-09-29T00:00:00"/>
    <d v="2025-10-11T00:00:00"/>
    <s v="September"/>
    <n v="12"/>
    <n v="107904"/>
  </r>
  <r>
    <x v="888"/>
    <s v="Sara Khan"/>
    <n v="85"/>
    <s v="Male"/>
    <s v="Fever"/>
    <x v="5"/>
    <d v="2025-03-08T00:00:00"/>
    <d v="2025-03-23T00:00:00"/>
    <s v="March"/>
    <n v="15"/>
    <n v="145305"/>
  </r>
  <r>
    <x v="889"/>
    <s v="Kiran Singh"/>
    <n v="35"/>
    <s v="Female"/>
    <s v="Migraine"/>
    <x v="2"/>
    <d v="2025-05-13T00:00:00"/>
    <d v="2025-05-18T00:00:00"/>
    <s v="May"/>
    <n v="5"/>
    <n v="47745"/>
  </r>
  <r>
    <x v="890"/>
    <s v="Kiran Verma"/>
    <n v="24"/>
    <s v="Female"/>
    <s v="Fever"/>
    <x v="0"/>
    <d v="2025-07-25T00:00:00"/>
    <d v="2025-08-03T00:00:00"/>
    <s v="July"/>
    <n v="9"/>
    <n v="75420"/>
  </r>
  <r>
    <x v="891"/>
    <s v="Rahul Ali"/>
    <n v="86"/>
    <s v="Male"/>
    <s v="Asthma"/>
    <x v="6"/>
    <d v="2025-10-19T00:00:00"/>
    <d v="2025-10-24T00:00:00"/>
    <s v="October"/>
    <n v="5"/>
    <n v="42350"/>
  </r>
  <r>
    <x v="892"/>
    <s v="Arjun Ali"/>
    <n v="77"/>
    <s v="Female"/>
    <s v="Asthma"/>
    <x v="4"/>
    <d v="2025-02-17T00:00:00"/>
    <d v="2025-02-24T00:00:00"/>
    <s v="February"/>
    <n v="7"/>
    <n v="59633"/>
  </r>
  <r>
    <x v="893"/>
    <s v="Imran Ali"/>
    <n v="58"/>
    <s v="Female"/>
    <s v="Kidney Stone"/>
    <x v="2"/>
    <d v="2025-08-25T00:00:00"/>
    <d v="2025-08-29T00:00:00"/>
    <s v="August"/>
    <n v="4"/>
    <n v="43936"/>
  </r>
  <r>
    <x v="894"/>
    <s v="Imran Malik"/>
    <n v="79"/>
    <s v="Male"/>
    <s v="Kidney Stone"/>
    <x v="1"/>
    <d v="2025-04-19T00:00:00"/>
    <d v="2025-04-30T00:00:00"/>
    <s v="April"/>
    <n v="11"/>
    <n v="72325"/>
  </r>
  <r>
    <x v="895"/>
    <s v="Zara Rather"/>
    <n v="64"/>
    <s v="Female"/>
    <s v="Kidney Stone"/>
    <x v="2"/>
    <d v="2025-08-24T00:00:00"/>
    <d v="2025-09-02T00:00:00"/>
    <s v="August"/>
    <n v="9"/>
    <n v="98991"/>
  </r>
  <r>
    <x v="896"/>
    <s v="Mehak Gupta"/>
    <n v="65"/>
    <s v="Male"/>
    <s v="Dengue"/>
    <x v="6"/>
    <d v="2025-12-26T00:00:00"/>
    <d v="2025-12-30T00:00:00"/>
    <s v="December"/>
    <n v="4"/>
    <n v="25128"/>
  </r>
  <r>
    <x v="897"/>
    <s v="Neha Verma"/>
    <n v="47"/>
    <s v="Female"/>
    <s v="Diabetes"/>
    <x v="1"/>
    <d v="2025-03-23T00:00:00"/>
    <d v="2025-03-28T00:00:00"/>
    <s v="March"/>
    <n v="5"/>
    <n v="37895"/>
  </r>
  <r>
    <x v="898"/>
    <s v="Neha Ali"/>
    <n v="1"/>
    <s v="Male"/>
    <s v="Diabetes"/>
    <x v="0"/>
    <d v="2025-09-19T00:00:00"/>
    <d v="2025-10-02T00:00:00"/>
    <s v="September"/>
    <n v="13"/>
    <n v="147550"/>
  </r>
  <r>
    <x v="899"/>
    <s v="Aman Rather"/>
    <n v="84"/>
    <s v="Male"/>
    <s v="Heart Disease"/>
    <x v="6"/>
    <d v="2025-10-25T00:00:00"/>
    <d v="2025-11-04T00:00:00"/>
    <s v="October"/>
    <n v="10"/>
    <n v="69410"/>
  </r>
  <r>
    <x v="900"/>
    <s v="Adil Singh"/>
    <n v="68"/>
    <s v="Female"/>
    <s v="Asthma"/>
    <x v="3"/>
    <d v="2025-11-11T00:00:00"/>
    <d v="2025-11-22T00:00:00"/>
    <s v="November"/>
    <n v="11"/>
    <n v="63701"/>
  </r>
  <r>
    <x v="901"/>
    <s v="Arjun Rather"/>
    <n v="6"/>
    <s v="Female"/>
    <s v="Hypertension"/>
    <x v="3"/>
    <d v="2025-09-24T00:00:00"/>
    <d v="2025-09-29T00:00:00"/>
    <s v="September"/>
    <n v="5"/>
    <n v="41580"/>
  </r>
  <r>
    <x v="902"/>
    <s v="Adil Singh"/>
    <n v="1"/>
    <s v="Male"/>
    <s v="Diabetes"/>
    <x v="3"/>
    <d v="2025-08-18T00:00:00"/>
    <d v="2025-08-27T00:00:00"/>
    <s v="August"/>
    <n v="9"/>
    <n v="82116"/>
  </r>
  <r>
    <x v="903"/>
    <s v="Rahul Ali"/>
    <n v="37"/>
    <s v="Male"/>
    <s v="Hypertension"/>
    <x v="7"/>
    <d v="2025-12-07T00:00:00"/>
    <d v="2025-12-19T00:00:00"/>
    <s v="December"/>
    <n v="12"/>
    <n v="96048"/>
  </r>
  <r>
    <x v="904"/>
    <s v="Zara Kapoor"/>
    <n v="8"/>
    <s v="Male"/>
    <s v="Diabetes"/>
    <x v="2"/>
    <d v="2025-06-25T00:00:00"/>
    <d v="2025-07-09T00:00:00"/>
    <s v="June"/>
    <n v="14"/>
    <n v="90146"/>
  </r>
  <r>
    <x v="905"/>
    <s v="Anita Khan"/>
    <n v="33"/>
    <s v="Female"/>
    <s v="Dengue"/>
    <x v="6"/>
    <d v="2025-03-14T00:00:00"/>
    <d v="2025-03-26T00:00:00"/>
    <s v="March"/>
    <n v="12"/>
    <n v="91548"/>
  </r>
  <r>
    <x v="906"/>
    <s v="Adil Ali"/>
    <n v="23"/>
    <s v="Male"/>
    <s v="Heart Disease"/>
    <x v="4"/>
    <d v="2025-06-14T00:00:00"/>
    <d v="2025-06-28T00:00:00"/>
    <s v="June"/>
    <n v="14"/>
    <n v="140812"/>
  </r>
  <r>
    <x v="907"/>
    <s v="Mehak Khan"/>
    <n v="14"/>
    <s v="Male"/>
    <s v="Covid-19"/>
    <x v="7"/>
    <d v="2025-09-27T00:00:00"/>
    <d v="2025-10-05T00:00:00"/>
    <s v="September"/>
    <n v="8"/>
    <n v="59720"/>
  </r>
  <r>
    <x v="908"/>
    <s v="Rohit Khan"/>
    <n v="53"/>
    <s v="Male"/>
    <s v="Kidney Stone"/>
    <x v="4"/>
    <d v="2025-11-26T00:00:00"/>
    <d v="2025-11-30T00:00:00"/>
    <s v="November"/>
    <n v="4"/>
    <n v="25400"/>
  </r>
  <r>
    <x v="909"/>
    <s v="Zara Sharma"/>
    <n v="6"/>
    <s v="Female"/>
    <s v="Hypertension"/>
    <x v="5"/>
    <d v="2025-10-31T00:00:00"/>
    <d v="2025-11-02T00:00:00"/>
    <s v="October"/>
    <n v="2"/>
    <n v="18142"/>
  </r>
  <r>
    <x v="910"/>
    <s v="Sara Khan"/>
    <n v="42"/>
    <s v="Female"/>
    <s v="Asthma"/>
    <x v="2"/>
    <d v="2025-12-30T00:00:00"/>
    <d v="2026-01-07T00:00:00"/>
    <s v="December"/>
    <n v="8"/>
    <n v="72080"/>
  </r>
  <r>
    <x v="911"/>
    <s v="Neha Rather"/>
    <n v="59"/>
    <s v="Male"/>
    <s v="Fever"/>
    <x v="6"/>
    <d v="2025-02-14T00:00:00"/>
    <d v="2025-02-25T00:00:00"/>
    <s v="February"/>
    <n v="11"/>
    <n v="110627"/>
  </r>
  <r>
    <x v="912"/>
    <s v="Kiran Ali"/>
    <n v="69"/>
    <s v="Male"/>
    <s v="Pneumonia"/>
    <x v="3"/>
    <d v="2025-02-26T00:00:00"/>
    <d v="2025-02-27T00:00:00"/>
    <s v="February"/>
    <n v="1"/>
    <n v="11656"/>
  </r>
  <r>
    <x v="913"/>
    <s v="Rahul Sharma"/>
    <n v="19"/>
    <s v="Male"/>
    <s v="Pneumonia"/>
    <x v="1"/>
    <d v="2025-08-11T00:00:00"/>
    <d v="2025-08-26T00:00:00"/>
    <s v="August"/>
    <n v="15"/>
    <n v="176925"/>
  </r>
  <r>
    <x v="914"/>
    <s v="Kiran Sharma"/>
    <n v="15"/>
    <s v="Female"/>
    <s v="Asthma"/>
    <x v="1"/>
    <d v="2025-04-10T00:00:00"/>
    <d v="2025-04-20T00:00:00"/>
    <s v="April"/>
    <n v="10"/>
    <n v="62500"/>
  </r>
  <r>
    <x v="915"/>
    <s v="Adil Verma"/>
    <n v="41"/>
    <s v="Male"/>
    <s v="Diabetes"/>
    <x v="4"/>
    <d v="2025-11-18T00:00:00"/>
    <d v="2025-11-30T00:00:00"/>
    <s v="November"/>
    <n v="12"/>
    <n v="102372"/>
  </r>
  <r>
    <x v="916"/>
    <s v="Neha Khan"/>
    <n v="25"/>
    <s v="Male"/>
    <s v="Asthma"/>
    <x v="3"/>
    <d v="2025-07-06T00:00:00"/>
    <d v="2025-07-17T00:00:00"/>
    <s v="July"/>
    <n v="11"/>
    <n v="59752"/>
  </r>
  <r>
    <x v="917"/>
    <s v="Pooja Sharma"/>
    <n v="71"/>
    <s v="Male"/>
    <s v="Pneumonia"/>
    <x v="4"/>
    <d v="2025-09-27T00:00:00"/>
    <d v="2025-10-02T00:00:00"/>
    <s v="September"/>
    <n v="5"/>
    <n v="37040"/>
  </r>
  <r>
    <x v="918"/>
    <s v="Mehak Gupta"/>
    <n v="9"/>
    <s v="Male"/>
    <s v="Kidney Stone"/>
    <x v="6"/>
    <d v="2025-05-19T00:00:00"/>
    <d v="2025-06-03T00:00:00"/>
    <s v="May"/>
    <n v="15"/>
    <n v="171540"/>
  </r>
  <r>
    <x v="919"/>
    <s v="Aman Verma"/>
    <n v="26"/>
    <s v="Male"/>
    <s v="Asthma"/>
    <x v="1"/>
    <d v="2025-10-01T00:00:00"/>
    <d v="2025-10-04T00:00:00"/>
    <s v="October"/>
    <n v="3"/>
    <n v="28506"/>
  </r>
  <r>
    <x v="920"/>
    <s v="Pooja Ali"/>
    <n v="59"/>
    <s v="Female"/>
    <s v="Hypertension"/>
    <x v="0"/>
    <d v="2025-01-04T00:00:00"/>
    <d v="2025-01-10T00:00:00"/>
    <s v="January"/>
    <n v="6"/>
    <n v="30552"/>
  </r>
  <r>
    <x v="921"/>
    <s v="Sara Khan"/>
    <n v="82"/>
    <s v="Male"/>
    <s v="Fever"/>
    <x v="5"/>
    <d v="2025-03-01T00:00:00"/>
    <d v="2025-03-10T00:00:00"/>
    <s v="March"/>
    <n v="9"/>
    <n v="84447"/>
  </r>
  <r>
    <x v="922"/>
    <s v="Kiran Ali"/>
    <n v="30"/>
    <s v="Male"/>
    <s v="Heart Disease"/>
    <x v="0"/>
    <d v="2025-01-12T00:00:00"/>
    <d v="2025-01-15T00:00:00"/>
    <s v="January"/>
    <n v="3"/>
    <n v="31950"/>
  </r>
  <r>
    <x v="923"/>
    <s v="Adil Ali"/>
    <n v="57"/>
    <s v="Female"/>
    <s v="Fever"/>
    <x v="3"/>
    <d v="2025-09-29T00:00:00"/>
    <d v="2025-10-03T00:00:00"/>
    <s v="September"/>
    <n v="4"/>
    <n v="37532"/>
  </r>
  <r>
    <x v="924"/>
    <s v="Aman Khan"/>
    <n v="64"/>
    <s v="Male"/>
    <s v="Covid-19"/>
    <x v="3"/>
    <d v="2025-05-23T00:00:00"/>
    <d v="2025-06-01T00:00:00"/>
    <s v="May"/>
    <n v="9"/>
    <n v="47538"/>
  </r>
  <r>
    <x v="925"/>
    <s v="Mehak Khan"/>
    <n v="11"/>
    <s v="Male"/>
    <s v="Pneumonia"/>
    <x v="1"/>
    <d v="2025-05-09T00:00:00"/>
    <d v="2025-05-12T00:00:00"/>
    <s v="May"/>
    <n v="3"/>
    <n v="29952"/>
  </r>
  <r>
    <x v="926"/>
    <s v="Imran Ali"/>
    <n v="7"/>
    <s v="Male"/>
    <s v="Asthma"/>
    <x v="1"/>
    <d v="2025-06-24T00:00:00"/>
    <d v="2025-07-03T00:00:00"/>
    <s v="June"/>
    <n v="9"/>
    <n v="69057"/>
  </r>
  <r>
    <x v="927"/>
    <s v="Aman Verma"/>
    <n v="65"/>
    <s v="Female"/>
    <s v="Hypertension"/>
    <x v="3"/>
    <d v="2025-07-27T00:00:00"/>
    <d v="2025-08-03T00:00:00"/>
    <s v="July"/>
    <n v="7"/>
    <n v="38780"/>
  </r>
  <r>
    <x v="928"/>
    <s v="Rohit Ali"/>
    <n v="34"/>
    <s v="Male"/>
    <s v="Asthma"/>
    <x v="4"/>
    <d v="2025-08-10T00:00:00"/>
    <d v="2025-08-24T00:00:00"/>
    <s v="August"/>
    <n v="14"/>
    <n v="91266"/>
  </r>
  <r>
    <x v="929"/>
    <s v="Anita Khan"/>
    <n v="73"/>
    <s v="Male"/>
    <s v="Kidney Stone"/>
    <x v="4"/>
    <d v="2025-12-26T00:00:00"/>
    <d v="2026-01-09T00:00:00"/>
    <s v="December"/>
    <n v="14"/>
    <n v="103614"/>
  </r>
  <r>
    <x v="930"/>
    <s v="Vikas Kapoor"/>
    <n v="12"/>
    <s v="Female"/>
    <s v="Asthma"/>
    <x v="3"/>
    <d v="2025-04-28T00:00:00"/>
    <d v="2025-05-06T00:00:00"/>
    <s v="April"/>
    <n v="8"/>
    <n v="93488"/>
  </r>
  <r>
    <x v="931"/>
    <s v="Sara Sharma"/>
    <n v="73"/>
    <s v="Male"/>
    <s v="Fever"/>
    <x v="2"/>
    <d v="2025-05-09T00:00:00"/>
    <d v="2025-05-24T00:00:00"/>
    <s v="May"/>
    <n v="15"/>
    <n v="124650"/>
  </r>
  <r>
    <x v="932"/>
    <s v="Neha Rather"/>
    <n v="58"/>
    <s v="Male"/>
    <s v="Fever"/>
    <x v="1"/>
    <d v="2025-08-21T00:00:00"/>
    <d v="2025-08-30T00:00:00"/>
    <s v="August"/>
    <n v="9"/>
    <n v="41310"/>
  </r>
  <r>
    <x v="933"/>
    <s v="Mehak Kumar"/>
    <n v="12"/>
    <s v="Male"/>
    <s v="Asthma"/>
    <x v="7"/>
    <d v="2025-03-05T00:00:00"/>
    <d v="2025-03-19T00:00:00"/>
    <s v="March"/>
    <n v="14"/>
    <n v="89208"/>
  </r>
  <r>
    <x v="934"/>
    <s v="Rohit Ali"/>
    <n v="90"/>
    <s v="Female"/>
    <s v="Pneumonia"/>
    <x v="5"/>
    <d v="2025-11-23T00:00:00"/>
    <d v="2025-12-01T00:00:00"/>
    <s v="November"/>
    <n v="8"/>
    <n v="38240"/>
  </r>
  <r>
    <x v="935"/>
    <s v="Mehak Kumar"/>
    <n v="29"/>
    <s v="Female"/>
    <s v="Heart Disease"/>
    <x v="4"/>
    <d v="2025-10-17T00:00:00"/>
    <d v="2025-11-01T00:00:00"/>
    <s v="October"/>
    <n v="15"/>
    <n v="148770"/>
  </r>
  <r>
    <x v="936"/>
    <s v="Aman Sharma"/>
    <n v="75"/>
    <s v="Female"/>
    <s v="Asthma"/>
    <x v="7"/>
    <d v="2025-12-15T00:00:00"/>
    <d v="2025-12-19T00:00:00"/>
    <s v="December"/>
    <n v="4"/>
    <n v="16484"/>
  </r>
  <r>
    <x v="937"/>
    <s v="Arjun Sharma"/>
    <n v="64"/>
    <s v="Male"/>
    <s v="Dengue"/>
    <x v="5"/>
    <d v="2025-08-31T00:00:00"/>
    <d v="2025-09-12T00:00:00"/>
    <s v="August"/>
    <n v="12"/>
    <n v="102180"/>
  </r>
  <r>
    <x v="938"/>
    <s v="Imran Gupta"/>
    <n v="80"/>
    <s v="Male"/>
    <s v="Asthma"/>
    <x v="7"/>
    <d v="2025-05-13T00:00:00"/>
    <d v="2025-05-17T00:00:00"/>
    <s v="May"/>
    <n v="4"/>
    <n v="42928"/>
  </r>
  <r>
    <x v="939"/>
    <s v="Aman Verma"/>
    <n v="3"/>
    <s v="Female"/>
    <s v="Pneumonia"/>
    <x v="6"/>
    <d v="2025-08-26T00:00:00"/>
    <d v="2025-09-09T00:00:00"/>
    <s v="August"/>
    <n v="14"/>
    <n v="117572"/>
  </r>
  <r>
    <x v="940"/>
    <s v="Rahul Gupta"/>
    <n v="9"/>
    <s v="Male"/>
    <s v="Fever"/>
    <x v="2"/>
    <d v="2025-03-31T00:00:00"/>
    <d v="2025-04-05T00:00:00"/>
    <s v="March"/>
    <n v="5"/>
    <n v="51830"/>
  </r>
  <r>
    <x v="941"/>
    <s v="Zara Malik"/>
    <n v="35"/>
    <s v="Male"/>
    <s v="Pneumonia"/>
    <x v="2"/>
    <d v="2025-02-12T00:00:00"/>
    <d v="2025-02-24T00:00:00"/>
    <s v="February"/>
    <n v="12"/>
    <n v="87864"/>
  </r>
  <r>
    <x v="942"/>
    <s v="Arjun Malik"/>
    <n v="32"/>
    <s v="Male"/>
    <s v="Fever"/>
    <x v="7"/>
    <d v="2025-05-23T00:00:00"/>
    <d v="2025-05-31T00:00:00"/>
    <s v="May"/>
    <n v="8"/>
    <n v="48384"/>
  </r>
  <r>
    <x v="943"/>
    <s v="Adil Verma"/>
    <n v="77"/>
    <s v="Male"/>
    <s v="Diabetes"/>
    <x v="6"/>
    <d v="2025-01-05T00:00:00"/>
    <d v="2025-01-09T00:00:00"/>
    <s v="January"/>
    <n v="4"/>
    <n v="23640"/>
  </r>
  <r>
    <x v="944"/>
    <s v="Imran Ali"/>
    <n v="53"/>
    <s v="Male"/>
    <s v="Pneumonia"/>
    <x v="5"/>
    <d v="2025-06-24T00:00:00"/>
    <d v="2025-06-26T00:00:00"/>
    <s v="June"/>
    <n v="2"/>
    <n v="16560"/>
  </r>
  <r>
    <x v="945"/>
    <s v="Rahul Verma"/>
    <n v="82"/>
    <s v="Male"/>
    <s v="Hypertension"/>
    <x v="3"/>
    <d v="2025-10-13T00:00:00"/>
    <d v="2025-10-26T00:00:00"/>
    <s v="October"/>
    <n v="13"/>
    <n v="80483"/>
  </r>
  <r>
    <x v="946"/>
    <s v="Sara Rather"/>
    <n v="38"/>
    <s v="Female"/>
    <s v="Heart Disease"/>
    <x v="6"/>
    <d v="2025-01-15T00:00:00"/>
    <d v="2025-01-22T00:00:00"/>
    <s v="January"/>
    <n v="7"/>
    <n v="35819"/>
  </r>
  <r>
    <x v="947"/>
    <s v="Sara Sharma"/>
    <n v="63"/>
    <s v="Female"/>
    <s v="Diabetes"/>
    <x v="4"/>
    <d v="2025-11-28T00:00:00"/>
    <d v="2025-12-13T00:00:00"/>
    <s v="November"/>
    <n v="15"/>
    <n v="82710"/>
  </r>
  <r>
    <x v="948"/>
    <s v="Mehak Verma"/>
    <n v="52"/>
    <s v="Female"/>
    <s v="Covid-19"/>
    <x v="3"/>
    <d v="2025-12-12T00:00:00"/>
    <d v="2025-12-21T00:00:00"/>
    <s v="December"/>
    <n v="9"/>
    <n v="52731"/>
  </r>
  <r>
    <x v="949"/>
    <s v="Priya Gupta"/>
    <n v="51"/>
    <s v="Male"/>
    <s v="Covid-19"/>
    <x v="7"/>
    <d v="2025-09-15T00:00:00"/>
    <d v="2025-09-18T00:00:00"/>
    <s v="September"/>
    <n v="3"/>
    <n v="22803"/>
  </r>
  <r>
    <x v="950"/>
    <s v="Rohit Malik"/>
    <n v="13"/>
    <s v="Female"/>
    <s v="Asthma"/>
    <x v="6"/>
    <d v="2025-06-25T00:00:00"/>
    <d v="2025-06-26T00:00:00"/>
    <s v="June"/>
    <n v="1"/>
    <n v="5886"/>
  </r>
  <r>
    <x v="951"/>
    <s v="Kiran Ali"/>
    <n v="17"/>
    <s v="Male"/>
    <s v="Pneumonia"/>
    <x v="6"/>
    <d v="2025-12-26T00:00:00"/>
    <d v="2026-01-03T00:00:00"/>
    <s v="December"/>
    <n v="8"/>
    <n v="93184"/>
  </r>
  <r>
    <x v="952"/>
    <s v="Pooja Gupta"/>
    <n v="4"/>
    <s v="Male"/>
    <s v="Dengue"/>
    <x v="6"/>
    <d v="2025-02-14T00:00:00"/>
    <d v="2025-02-26T00:00:00"/>
    <s v="February"/>
    <n v="12"/>
    <n v="69156"/>
  </r>
  <r>
    <x v="953"/>
    <s v="Mehak Gupta"/>
    <n v="59"/>
    <s v="Female"/>
    <s v="Asthma"/>
    <x v="0"/>
    <d v="2025-01-11T00:00:00"/>
    <d v="2025-01-19T00:00:00"/>
    <s v="January"/>
    <n v="8"/>
    <n v="88384"/>
  </r>
  <r>
    <x v="954"/>
    <s v="Rohit Sharma"/>
    <n v="39"/>
    <s v="Female"/>
    <s v="Kidney Stone"/>
    <x v="7"/>
    <d v="2025-05-31T00:00:00"/>
    <d v="2025-06-14T00:00:00"/>
    <s v="May"/>
    <n v="14"/>
    <n v="144214"/>
  </r>
  <r>
    <x v="955"/>
    <s v="Neha Ali"/>
    <n v="19"/>
    <s v="Male"/>
    <s v="Fever"/>
    <x v="4"/>
    <d v="2025-01-19T00:00:00"/>
    <d v="2025-01-21T00:00:00"/>
    <s v="January"/>
    <n v="2"/>
    <n v="19198"/>
  </r>
  <r>
    <x v="956"/>
    <s v="Adil Gupta"/>
    <n v="72"/>
    <s v="Female"/>
    <s v="Heart Disease"/>
    <x v="4"/>
    <d v="2025-03-30T00:00:00"/>
    <d v="2025-04-10T00:00:00"/>
    <s v="March"/>
    <n v="11"/>
    <n v="90717"/>
  </r>
  <r>
    <x v="957"/>
    <s v="Rohit Kapoor"/>
    <n v="14"/>
    <s v="Male"/>
    <s v="Asthma"/>
    <x v="7"/>
    <d v="2025-01-10T00:00:00"/>
    <d v="2025-01-11T00:00:00"/>
    <s v="January"/>
    <n v="1"/>
    <n v="7856"/>
  </r>
  <r>
    <x v="958"/>
    <s v="Rohit Singh"/>
    <n v="13"/>
    <s v="Female"/>
    <s v="Hypertension"/>
    <x v="2"/>
    <d v="2025-06-13T00:00:00"/>
    <d v="2025-06-25T00:00:00"/>
    <s v="June"/>
    <n v="12"/>
    <n v="60180"/>
  </r>
  <r>
    <x v="959"/>
    <s v="Priya Singh"/>
    <n v="87"/>
    <s v="Female"/>
    <s v="Dengue"/>
    <x v="5"/>
    <d v="2025-10-16T00:00:00"/>
    <d v="2025-10-18T00:00:00"/>
    <s v="October"/>
    <n v="2"/>
    <n v="16578"/>
  </r>
  <r>
    <x v="960"/>
    <s v="Priya Rather"/>
    <n v="77"/>
    <s v="Female"/>
    <s v="Diabetes"/>
    <x v="4"/>
    <d v="2025-09-06T00:00:00"/>
    <d v="2025-09-10T00:00:00"/>
    <s v="September"/>
    <n v="4"/>
    <n v="37748"/>
  </r>
  <r>
    <x v="961"/>
    <s v="Sara Sharma"/>
    <n v="5"/>
    <s v="Female"/>
    <s v="Migraine"/>
    <x v="6"/>
    <d v="2025-03-04T00:00:00"/>
    <d v="2025-03-12T00:00:00"/>
    <s v="March"/>
    <n v="8"/>
    <n v="92400"/>
  </r>
  <r>
    <x v="962"/>
    <s v="Sara Verma"/>
    <n v="63"/>
    <s v="Male"/>
    <s v="Hypertension"/>
    <x v="5"/>
    <d v="2025-04-19T00:00:00"/>
    <d v="2025-05-01T00:00:00"/>
    <s v="April"/>
    <n v="12"/>
    <n v="140124"/>
  </r>
  <r>
    <x v="963"/>
    <s v="Rohit Kapoor"/>
    <n v="47"/>
    <s v="Female"/>
    <s v="Dengue"/>
    <x v="7"/>
    <d v="2025-04-02T00:00:00"/>
    <d v="2025-04-15T00:00:00"/>
    <s v="April"/>
    <n v="13"/>
    <n v="115921"/>
  </r>
  <r>
    <x v="964"/>
    <s v="Rahul Rather"/>
    <n v="44"/>
    <s v="Female"/>
    <s v="Migraine"/>
    <x v="2"/>
    <d v="2025-05-18T00:00:00"/>
    <d v="2025-05-22T00:00:00"/>
    <s v="May"/>
    <n v="4"/>
    <n v="28136"/>
  </r>
  <r>
    <x v="965"/>
    <s v="Aman Gupta"/>
    <n v="55"/>
    <s v="Male"/>
    <s v="Pneumonia"/>
    <x v="5"/>
    <d v="2025-10-25T00:00:00"/>
    <d v="2025-11-02T00:00:00"/>
    <s v="October"/>
    <n v="8"/>
    <n v="91976"/>
  </r>
  <r>
    <x v="966"/>
    <s v="Zara Verma"/>
    <n v="53"/>
    <s v="Male"/>
    <s v="Hypertension"/>
    <x v="6"/>
    <d v="2025-11-09T00:00:00"/>
    <d v="2025-11-16T00:00:00"/>
    <s v="November"/>
    <n v="7"/>
    <n v="51905"/>
  </r>
  <r>
    <x v="967"/>
    <s v="Anita Ali"/>
    <n v="49"/>
    <s v="Male"/>
    <s v="Migraine"/>
    <x v="1"/>
    <d v="2025-06-30T00:00:00"/>
    <d v="2025-07-11T00:00:00"/>
    <s v="June"/>
    <n v="11"/>
    <n v="87703"/>
  </r>
  <r>
    <x v="968"/>
    <s v="Rohit Malik"/>
    <n v="84"/>
    <s v="Male"/>
    <s v="Kidney Stone"/>
    <x v="4"/>
    <d v="2025-03-31T00:00:00"/>
    <d v="2025-04-02T00:00:00"/>
    <s v="March"/>
    <n v="2"/>
    <n v="15070"/>
  </r>
  <r>
    <x v="969"/>
    <s v="Zara Malik"/>
    <n v="89"/>
    <s v="Female"/>
    <s v="Heart Disease"/>
    <x v="3"/>
    <d v="2025-11-21T00:00:00"/>
    <d v="2025-11-22T00:00:00"/>
    <s v="November"/>
    <n v="1"/>
    <n v="5364"/>
  </r>
  <r>
    <x v="970"/>
    <s v="Priya Verma"/>
    <n v="9"/>
    <s v="Male"/>
    <s v="Migraine"/>
    <x v="4"/>
    <d v="2025-04-02T00:00:00"/>
    <d v="2025-04-17T00:00:00"/>
    <s v="April"/>
    <n v="15"/>
    <n v="90000"/>
  </r>
  <r>
    <x v="971"/>
    <s v="Anita Malik"/>
    <n v="18"/>
    <s v="Female"/>
    <s v="Kidney Stone"/>
    <x v="4"/>
    <d v="2025-01-07T00:00:00"/>
    <d v="2025-01-12T00:00:00"/>
    <s v="January"/>
    <n v="5"/>
    <n v="57800"/>
  </r>
  <r>
    <x v="972"/>
    <s v="Zara Singh"/>
    <n v="59"/>
    <s v="Female"/>
    <s v="Hypertension"/>
    <x v="5"/>
    <d v="2025-12-11T00:00:00"/>
    <d v="2025-12-21T00:00:00"/>
    <s v="December"/>
    <n v="10"/>
    <n v="72130"/>
  </r>
  <r>
    <x v="973"/>
    <s v="Mehak Rather"/>
    <n v="35"/>
    <s v="Male"/>
    <s v="Hypertension"/>
    <x v="7"/>
    <d v="2025-08-19T00:00:00"/>
    <d v="2025-08-24T00:00:00"/>
    <s v="August"/>
    <n v="5"/>
    <n v="53720"/>
  </r>
  <r>
    <x v="974"/>
    <s v="Mehak Malik"/>
    <n v="41"/>
    <s v="Female"/>
    <s v="Hypertension"/>
    <x v="0"/>
    <d v="2025-02-27T00:00:00"/>
    <d v="2025-03-04T00:00:00"/>
    <s v="February"/>
    <n v="5"/>
    <n v="52260"/>
  </r>
  <r>
    <x v="975"/>
    <s v="Pooja Singh"/>
    <n v="41"/>
    <s v="Male"/>
    <s v="Kidney Stone"/>
    <x v="6"/>
    <d v="2025-12-18T00:00:00"/>
    <d v="2025-12-19T00:00:00"/>
    <s v="December"/>
    <n v="1"/>
    <n v="10776"/>
  </r>
  <r>
    <x v="976"/>
    <s v="Rohit Singh"/>
    <n v="38"/>
    <s v="Male"/>
    <s v="Dengue"/>
    <x v="4"/>
    <d v="2025-01-05T00:00:00"/>
    <d v="2025-01-18T00:00:00"/>
    <s v="January"/>
    <n v="13"/>
    <n v="115973"/>
  </r>
  <r>
    <x v="977"/>
    <s v="Vikas Malik"/>
    <n v="65"/>
    <s v="Male"/>
    <s v="Dengue"/>
    <x v="1"/>
    <d v="2025-12-10T00:00:00"/>
    <d v="2025-12-14T00:00:00"/>
    <s v="December"/>
    <n v="4"/>
    <n v="37116"/>
  </r>
  <r>
    <x v="978"/>
    <s v="Anita Verma"/>
    <n v="18"/>
    <s v="Female"/>
    <s v="Pneumonia"/>
    <x v="7"/>
    <d v="2025-07-27T00:00:00"/>
    <d v="2025-08-08T00:00:00"/>
    <s v="July"/>
    <n v="12"/>
    <n v="133824"/>
  </r>
  <r>
    <x v="979"/>
    <s v="Imran Malik"/>
    <n v="65"/>
    <s v="Female"/>
    <s v="Pneumonia"/>
    <x v="1"/>
    <d v="2025-12-16T00:00:00"/>
    <d v="2025-12-31T00:00:00"/>
    <s v="December"/>
    <n v="15"/>
    <n v="149310"/>
  </r>
  <r>
    <x v="980"/>
    <s v="Aman Sharma"/>
    <n v="24"/>
    <s v="Female"/>
    <s v="Covid-19"/>
    <x v="2"/>
    <d v="2025-10-20T00:00:00"/>
    <d v="2025-10-25T00:00:00"/>
    <s v="October"/>
    <n v="5"/>
    <n v="42950"/>
  </r>
  <r>
    <x v="981"/>
    <s v="Neha Sharma"/>
    <n v="48"/>
    <s v="Female"/>
    <s v="Migraine"/>
    <x v="0"/>
    <d v="2025-05-19T00:00:00"/>
    <d v="2025-05-23T00:00:00"/>
    <s v="May"/>
    <n v="4"/>
    <n v="41632"/>
  </r>
  <r>
    <x v="982"/>
    <s v="Arjun Kumar"/>
    <n v="4"/>
    <s v="Female"/>
    <s v="Fever"/>
    <x v="4"/>
    <d v="2025-03-12T00:00:00"/>
    <d v="2025-03-19T00:00:00"/>
    <s v="March"/>
    <n v="7"/>
    <n v="70420"/>
  </r>
  <r>
    <x v="983"/>
    <s v="Priya Kapoor"/>
    <n v="18"/>
    <s v="Male"/>
    <s v="Hypertension"/>
    <x v="4"/>
    <d v="2025-06-10T00:00:00"/>
    <d v="2025-06-11T00:00:00"/>
    <s v="June"/>
    <n v="1"/>
    <n v="11338"/>
  </r>
  <r>
    <x v="984"/>
    <s v="Imran Verma"/>
    <n v="84"/>
    <s v="Male"/>
    <s v="Covid-19"/>
    <x v="1"/>
    <d v="2025-05-29T00:00:00"/>
    <d v="2025-06-01T00:00:00"/>
    <s v="May"/>
    <n v="3"/>
    <n v="16410"/>
  </r>
  <r>
    <x v="985"/>
    <s v="Aman Khan"/>
    <n v="1"/>
    <s v="Female"/>
    <s v="Kidney Stone"/>
    <x v="5"/>
    <d v="2025-03-15T00:00:00"/>
    <d v="2025-03-18T00:00:00"/>
    <s v="March"/>
    <n v="3"/>
    <n v="23382"/>
  </r>
  <r>
    <x v="986"/>
    <s v="Anita Sharma"/>
    <n v="44"/>
    <s v="Male"/>
    <s v="Hypertension"/>
    <x v="1"/>
    <d v="2025-10-27T00:00:00"/>
    <d v="2025-11-10T00:00:00"/>
    <s v="October"/>
    <n v="14"/>
    <n v="57722"/>
  </r>
  <r>
    <x v="987"/>
    <s v="Rahul Ali"/>
    <n v="49"/>
    <s v="Male"/>
    <s v="Dengue"/>
    <x v="4"/>
    <d v="2025-03-16T00:00:00"/>
    <d v="2025-03-22T00:00:00"/>
    <s v="March"/>
    <n v="6"/>
    <n v="55728"/>
  </r>
  <r>
    <x v="988"/>
    <s v="Adil Kumar"/>
    <n v="73"/>
    <s v="Female"/>
    <s v="Hypertension"/>
    <x v="1"/>
    <d v="2025-02-08T00:00:00"/>
    <d v="2025-02-16T00:00:00"/>
    <s v="February"/>
    <n v="8"/>
    <n v="65416"/>
  </r>
  <r>
    <x v="989"/>
    <s v="Pooja Ali"/>
    <n v="44"/>
    <s v="Male"/>
    <s v="Diabetes"/>
    <x v="7"/>
    <d v="2025-12-30T00:00:00"/>
    <d v="2025-12-31T00:00:00"/>
    <s v="December"/>
    <n v="1"/>
    <n v="10213"/>
  </r>
  <r>
    <x v="990"/>
    <s v="Sara Ali"/>
    <n v="4"/>
    <s v="Male"/>
    <s v="Fever"/>
    <x v="3"/>
    <d v="2025-10-08T00:00:00"/>
    <d v="2025-10-20T00:00:00"/>
    <s v="October"/>
    <n v="12"/>
    <n v="100488"/>
  </r>
  <r>
    <x v="991"/>
    <s v="Arjun Khan"/>
    <n v="79"/>
    <s v="Female"/>
    <s v="Pneumonia"/>
    <x v="6"/>
    <d v="2025-09-20T00:00:00"/>
    <d v="2025-10-04T00:00:00"/>
    <s v="September"/>
    <n v="14"/>
    <n v="90342"/>
  </r>
  <r>
    <x v="992"/>
    <s v="Sara Malik"/>
    <n v="30"/>
    <s v="Male"/>
    <s v="Pneumonia"/>
    <x v="0"/>
    <d v="2025-01-28T00:00:00"/>
    <d v="2025-02-12T00:00:00"/>
    <s v="January"/>
    <n v="15"/>
    <n v="107160"/>
  </r>
  <r>
    <x v="993"/>
    <s v="Arjun Kapoor"/>
    <n v="42"/>
    <s v="Male"/>
    <s v="Heart Disease"/>
    <x v="6"/>
    <d v="2025-03-07T00:00:00"/>
    <d v="2025-03-22T00:00:00"/>
    <s v="March"/>
    <n v="15"/>
    <n v="67995"/>
  </r>
  <r>
    <x v="994"/>
    <s v="Sara Kapoor"/>
    <n v="27"/>
    <s v="Male"/>
    <s v="Fever"/>
    <x v="0"/>
    <d v="2025-02-26T00:00:00"/>
    <d v="2025-03-03T00:00:00"/>
    <s v="February"/>
    <n v="5"/>
    <n v="48365"/>
  </r>
  <r>
    <x v="995"/>
    <s v="Anita Kapoor"/>
    <n v="10"/>
    <s v="Female"/>
    <s v="Asthma"/>
    <x v="1"/>
    <d v="2025-05-15T00:00:00"/>
    <d v="2025-05-25T00:00:00"/>
    <s v="May"/>
    <n v="10"/>
    <n v="82890"/>
  </r>
  <r>
    <x v="996"/>
    <s v="Neha Rather"/>
    <n v="65"/>
    <s v="Female"/>
    <s v="Fever"/>
    <x v="6"/>
    <d v="2025-06-21T00:00:00"/>
    <d v="2025-06-28T00:00:00"/>
    <s v="June"/>
    <n v="7"/>
    <n v="70637"/>
  </r>
  <r>
    <x v="997"/>
    <s v="Arjun Ali"/>
    <n v="10"/>
    <s v="Male"/>
    <s v="Fever"/>
    <x v="5"/>
    <d v="2025-05-27T00:00:00"/>
    <d v="2025-06-09T00:00:00"/>
    <s v="May"/>
    <n v="13"/>
    <n v="123084"/>
  </r>
  <r>
    <x v="998"/>
    <s v="Vikas Ali"/>
    <n v="89"/>
    <s v="Female"/>
    <s v="Migraine"/>
    <x v="6"/>
    <d v="2025-03-25T00:00:00"/>
    <d v="2025-04-05T00:00:00"/>
    <s v="March"/>
    <n v="11"/>
    <n v="71687"/>
  </r>
  <r>
    <x v="999"/>
    <s v="Anita Singh"/>
    <n v="40"/>
    <s v="Female"/>
    <s v="Migraine"/>
    <x v="3"/>
    <d v="2025-09-13T00:00:00"/>
    <d v="2025-09-19T00:00:00"/>
    <s v="September"/>
    <n v="6"/>
    <n v="253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3:K14"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Count of Patient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2.xml><?xml version="1.0" encoding="utf-8"?>
<pivotTableDefinition xmlns="http://schemas.openxmlformats.org/spreadsheetml/2006/main" name="PivotTable4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G3:H16"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Patient ID" fld="1" subtotal="count"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3.xml><?xml version="1.0" encoding="utf-8"?>
<pivotTableDefinition xmlns="http://schemas.openxmlformats.org/spreadsheetml/2006/main" name="PivotTable4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D3:E12" firstHeaderRow="1" firstDataRow="1" firstDataCol="1"/>
  <pivotFields count="2">
    <pivotField axis="axisRow" allDrilled="1" showAll="0" dataSourceSort="1" defaultAttributeDrillState="1">
      <items count="9">
        <item x="0"/>
        <item x="1"/>
        <item x="2"/>
        <item x="3"/>
        <item x="4"/>
        <item x="5"/>
        <item x="6"/>
        <item x="7"/>
        <item t="default"/>
      </items>
    </pivotField>
    <pivotField dataField="1" showAll="0"/>
  </pivotFields>
  <rowFields count="1">
    <field x="0"/>
  </rowFields>
  <rowItems count="9">
    <i>
      <x/>
    </i>
    <i>
      <x v="1"/>
    </i>
    <i>
      <x v="2"/>
    </i>
    <i>
      <x v="3"/>
    </i>
    <i>
      <x v="4"/>
    </i>
    <i>
      <x v="5"/>
    </i>
    <i>
      <x v="6"/>
    </i>
    <i>
      <x v="7"/>
    </i>
    <i t="grand">
      <x/>
    </i>
  </rowItems>
  <colItems count="1">
    <i/>
  </colItems>
  <dataFields count="1">
    <dataField name="Sum of Bill" fld="1" baseField="0" baseItem="0"/>
  </dataFields>
  <chartFormats count="11">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2"/>
          </reference>
        </references>
      </pivotArea>
    </chartFormat>
    <chartFormat chart="9" format="14">
      <pivotArea type="data" outline="0" fieldPosition="0">
        <references count="2">
          <reference field="4294967294" count="1" selected="0">
            <x v="0"/>
          </reference>
          <reference field="0" count="1" selected="0">
            <x v="3"/>
          </reference>
        </references>
      </pivotArea>
    </chartFormat>
    <chartFormat chart="9" format="15">
      <pivotArea type="data" outline="0" fieldPosition="0">
        <references count="2">
          <reference field="4294967294" count="1" selected="0">
            <x v="0"/>
          </reference>
          <reference field="0" count="1" selected="0">
            <x v="4"/>
          </reference>
        </references>
      </pivotArea>
    </chartFormat>
    <chartFormat chart="9" format="16">
      <pivotArea type="data" outline="0" fieldPosition="0">
        <references count="2">
          <reference field="4294967294" count="1" selected="0">
            <x v="0"/>
          </reference>
          <reference field="0" count="1" selected="0">
            <x v="5"/>
          </reference>
        </references>
      </pivotArea>
    </chartFormat>
    <chartFormat chart="9" format="17">
      <pivotArea type="data" outline="0" fieldPosition="0">
        <references count="2">
          <reference field="4294967294" count="1" selected="0">
            <x v="0"/>
          </reference>
          <reference field="0" count="1" selected="0">
            <x v="6"/>
          </reference>
        </references>
      </pivotArea>
    </chartFormat>
    <chartFormat chart="9" format="18">
      <pivotArea type="data" outline="0" fieldPosition="0">
        <references count="2">
          <reference field="4294967294" count="1" selected="0">
            <x v="0"/>
          </reference>
          <reference field="0" count="1" selected="0">
            <x v="7"/>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4.xml><?xml version="1.0" encoding="utf-8"?>
<pivotTableDefinition xmlns="http://schemas.openxmlformats.org/spreadsheetml/2006/main" name="PivotTable3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12" firstHeaderRow="1" firstDataRow="1"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axis="axisRow" showAll="0">
      <items count="9">
        <item x="6"/>
        <item x="5"/>
        <item x="1"/>
        <item x="0"/>
        <item x="2"/>
        <item x="4"/>
        <item x="7"/>
        <item x="3"/>
        <item t="default"/>
      </items>
    </pivotField>
    <pivotField numFmtId="164" showAll="0"/>
    <pivotField numFmtId="164"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Count of Patient ID" fld="0" subtotal="count" baseField="0" baseItem="0"/>
  </dataFields>
  <chartFormats count="3">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8:B21"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Patient ID" fld="1" subtotal="count" baseField="0" baseItem="0"/>
  </dataFields>
  <chartFormats count="4">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15">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sease" sourceName="[Table1].[Disease]">
  <pivotTables>
    <pivotTable tabId="14" name="PivotTable43"/>
  </pivotTables>
  <data>
    <olap pivotCacheId="1">
      <levels count="2">
        <level uniqueName="[Table1].[Disease].[(All)]" sourceCaption="(All)" count="0"/>
        <level uniqueName="[Table1].[Disease].[Disease]" sourceCaption="Disease" count="10">
          <ranges>
            <range startItem="0">
              <i n="[Table1].[Disease].&amp;[Asthma]" c="Asthma"/>
              <i n="[Table1].[Disease].&amp;[Covid-19]" c="Covid-19"/>
              <i n="[Table1].[Disease].&amp;[Dengue]" c="Dengue"/>
              <i n="[Table1].[Disease].&amp;[Diabetes]" c="Diabetes"/>
              <i n="[Table1].[Disease].&amp;[Fever]" c="Fever"/>
              <i n="[Table1].[Disease].&amp;[Heart Disease]" c="Heart Disease"/>
              <i n="[Table1].[Disease].&amp;[Hypertension]" c="Hypertension"/>
              <i n="[Table1].[Disease].&amp;[Kidney Stone]" c="Kidney Stone"/>
              <i n="[Table1].[Disease].&amp;[Migraine]" c="Migraine"/>
              <i n="[Table1].[Disease].&amp;[Pneumonia]" c="Pneumonia"/>
            </range>
          </ranges>
        </level>
      </levels>
      <selections count="1">
        <selection n="[Table1].[Diseas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octor" sourceName="[Table1].[Doctor]">
  <pivotTables>
    <pivotTable tabId="14" name="PivotTable43"/>
    <pivotTable tabId="14" name="PivotTable40"/>
    <pivotTable tabId="14" name="PivotTable41"/>
    <pivotTable tabId="14" name="PivotTable42"/>
  </pivotTables>
  <data>
    <olap pivotCacheId="1">
      <levels count="2">
        <level uniqueName="[Table1].[Doctor].[(All)]" sourceCaption="(All)" count="0"/>
        <level uniqueName="[Table1].[Doctor].[Doctor]" sourceCaption="Doctor" count="8">
          <ranges>
            <range startItem="0">
              <i n="[Table1].[Doctor].&amp;[Dr. Ali]" c="Dr. Ali"/>
              <i n="[Table1].[Doctor].&amp;[Dr. Gupta]" c="Dr. Gupta"/>
              <i n="[Table1].[Doctor].&amp;[Dr. Kapoor]" c="Dr. Kapoor"/>
              <i n="[Table1].[Doctor].&amp;[Dr. Khan]" c="Dr. Khan"/>
              <i n="[Table1].[Doctor].&amp;[Dr. Mehta]" c="Dr. Mehta"/>
              <i n="[Table1].[Doctor].&amp;[Dr. Sharma]" c="Dr. Sharma"/>
              <i n="[Table1].[Doctor].&amp;[Dr. Singh]" c="Dr. Singh"/>
              <i n="[Table1].[Doctor].&amp;[Dr. Verma]" c="Dr. Verma"/>
            </range>
          </ranges>
        </level>
      </levels>
      <selections count="1">
        <selection n="[Table1].[Docto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Table1].[Gender]">
  <pivotTables>
    <pivotTable tabId="14" name="PivotTable43"/>
  </pivotTables>
  <data>
    <olap pivotCacheId="1">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sease" cache="Slicer_Disease" caption="Disease" level="1" rowHeight="241300"/>
  <slicer name="Doctor" cache="Slicer_Doctor" caption="Doctor" level="1" rowHeight="241300"/>
  <slicer name="Gender" cache="Slicer_Gender" caption="Gender" level="1" rowHeight="241300"/>
</slicers>
</file>

<file path=xl/tables/table1.xml><?xml version="1.0" encoding="utf-8"?>
<table xmlns="http://schemas.openxmlformats.org/spreadsheetml/2006/main" id="1" name="Table1" displayName="Table1" ref="A1:K1001" totalsRowShown="0">
  <autoFilter ref="A1:K1001"/>
  <tableColumns count="11">
    <tableColumn id="1" name="Patient ID"/>
    <tableColumn id="2" name="Name"/>
    <tableColumn id="3" name="Age"/>
    <tableColumn id="4" name="Gender"/>
    <tableColumn id="5" name="Disease"/>
    <tableColumn id="6" name="Doctor"/>
    <tableColumn id="7" name="Admission Date" dataDxfId="2"/>
    <tableColumn id="8" name="Discharge Date" dataDxfId="1"/>
    <tableColumn id="11" name="Month" dataDxfId="0">
      <calculatedColumnFormula>TEXT(Table1[[#This Row],[Admission Date]],"MMMM")</calculatedColumnFormula>
    </tableColumn>
    <tableColumn id="9" name="Stay Days"/>
    <tableColumn id="10" name="Bil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1"/>
  <sheetViews>
    <sheetView topLeftCell="A2" workbookViewId="0">
      <selection activeCell="B3" sqref="A2:K1001"/>
    </sheetView>
  </sheetViews>
  <sheetFormatPr defaultRowHeight="14.4" x14ac:dyDescent="0.3"/>
  <cols>
    <col min="1" max="1" width="12.33203125" bestFit="1" customWidth="1"/>
    <col min="2" max="2" width="14.44140625" bestFit="1" customWidth="1"/>
    <col min="3" max="3" width="6.88671875" bestFit="1" customWidth="1"/>
    <col min="4" max="4" width="10" bestFit="1" customWidth="1"/>
    <col min="5" max="5" width="13.33203125" bestFit="1" customWidth="1"/>
    <col min="6" max="6" width="10.88671875" bestFit="1" customWidth="1"/>
    <col min="7" max="7" width="17.5546875" bestFit="1" customWidth="1"/>
    <col min="8" max="8" width="17" bestFit="1" customWidth="1"/>
    <col min="9" max="9" width="17" customWidth="1"/>
    <col min="10" max="10" width="12" bestFit="1" customWidth="1"/>
    <col min="11" max="11" width="7.66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v>56</v>
      </c>
      <c r="D2" t="s">
        <v>13</v>
      </c>
      <c r="E2" t="s">
        <v>14</v>
      </c>
      <c r="F2" t="s">
        <v>15</v>
      </c>
      <c r="G2" s="1">
        <v>45994</v>
      </c>
      <c r="H2" s="1">
        <v>45997</v>
      </c>
      <c r="I2" s="1" t="str">
        <f>TEXT(Table1[[#This Row],[Admission Date]],"MMMM")</f>
        <v>December</v>
      </c>
      <c r="J2">
        <v>3</v>
      </c>
      <c r="K2">
        <v>17019</v>
      </c>
    </row>
    <row r="3" spans="1:11" x14ac:dyDescent="0.3">
      <c r="A3" t="s">
        <v>16</v>
      </c>
      <c r="B3" t="s">
        <v>17</v>
      </c>
      <c r="C3">
        <v>42</v>
      </c>
      <c r="D3" t="s">
        <v>18</v>
      </c>
      <c r="E3" t="s">
        <v>19</v>
      </c>
      <c r="F3" t="s">
        <v>20</v>
      </c>
      <c r="G3" s="1">
        <v>45668</v>
      </c>
      <c r="H3" s="1">
        <v>45676</v>
      </c>
      <c r="I3" s="1" t="str">
        <f>TEXT(Table1[[#This Row],[Admission Date]],"MMMM")</f>
        <v>January</v>
      </c>
      <c r="J3">
        <v>8</v>
      </c>
      <c r="K3">
        <v>32528</v>
      </c>
    </row>
    <row r="4" spans="1:11" x14ac:dyDescent="0.3">
      <c r="A4" t="s">
        <v>21</v>
      </c>
      <c r="B4" t="s">
        <v>22</v>
      </c>
      <c r="C4">
        <v>28</v>
      </c>
      <c r="D4" t="s">
        <v>13</v>
      </c>
      <c r="E4" t="s">
        <v>23</v>
      </c>
      <c r="F4" t="s">
        <v>24</v>
      </c>
      <c r="G4" s="1">
        <v>45923</v>
      </c>
      <c r="H4" s="1">
        <v>45936</v>
      </c>
      <c r="I4" s="1" t="str">
        <f>TEXT(Table1[[#This Row],[Admission Date]],"MMMM")</f>
        <v>September</v>
      </c>
      <c r="J4">
        <v>13</v>
      </c>
      <c r="K4">
        <v>116493</v>
      </c>
    </row>
    <row r="5" spans="1:11" x14ac:dyDescent="0.3">
      <c r="A5" t="s">
        <v>25</v>
      </c>
      <c r="B5" t="s">
        <v>26</v>
      </c>
      <c r="C5">
        <v>2</v>
      </c>
      <c r="D5" t="s">
        <v>18</v>
      </c>
      <c r="E5" t="s">
        <v>27</v>
      </c>
      <c r="F5" t="s">
        <v>28</v>
      </c>
      <c r="G5" s="1">
        <v>45695</v>
      </c>
      <c r="H5" s="1">
        <v>45698</v>
      </c>
      <c r="I5" s="1" t="str">
        <f>TEXT(Table1[[#This Row],[Admission Date]],"MMMM")</f>
        <v>February</v>
      </c>
      <c r="J5">
        <v>3</v>
      </c>
      <c r="K5">
        <v>21084</v>
      </c>
    </row>
    <row r="6" spans="1:11" x14ac:dyDescent="0.3">
      <c r="A6" t="s">
        <v>29</v>
      </c>
      <c r="B6" t="s">
        <v>30</v>
      </c>
      <c r="C6">
        <v>25</v>
      </c>
      <c r="D6" t="s">
        <v>18</v>
      </c>
      <c r="E6" t="s">
        <v>31</v>
      </c>
      <c r="F6" t="s">
        <v>24</v>
      </c>
      <c r="G6" s="1">
        <v>45718</v>
      </c>
      <c r="H6" s="1">
        <v>45722</v>
      </c>
      <c r="I6" s="1" t="str">
        <f>TEXT(Table1[[#This Row],[Admission Date]],"MMMM")</f>
        <v>March</v>
      </c>
      <c r="J6">
        <v>4</v>
      </c>
      <c r="K6">
        <v>47036</v>
      </c>
    </row>
    <row r="7" spans="1:11" x14ac:dyDescent="0.3">
      <c r="A7" t="s">
        <v>32</v>
      </c>
      <c r="B7" t="s">
        <v>33</v>
      </c>
      <c r="C7">
        <v>9</v>
      </c>
      <c r="D7" t="s">
        <v>18</v>
      </c>
      <c r="E7" t="s">
        <v>34</v>
      </c>
      <c r="F7" t="s">
        <v>35</v>
      </c>
      <c r="G7" s="1">
        <v>45752</v>
      </c>
      <c r="H7" s="1">
        <v>45759</v>
      </c>
      <c r="I7" s="1" t="str">
        <f>TEXT(Table1[[#This Row],[Admission Date]],"MMMM")</f>
        <v>April</v>
      </c>
      <c r="J7">
        <v>7</v>
      </c>
      <c r="K7">
        <v>78869</v>
      </c>
    </row>
    <row r="8" spans="1:11" x14ac:dyDescent="0.3">
      <c r="A8" t="s">
        <v>36</v>
      </c>
      <c r="B8" t="s">
        <v>37</v>
      </c>
      <c r="C8">
        <v>4</v>
      </c>
      <c r="D8" t="s">
        <v>18</v>
      </c>
      <c r="E8" t="s">
        <v>27</v>
      </c>
      <c r="F8" t="s">
        <v>35</v>
      </c>
      <c r="G8" s="1">
        <v>45796</v>
      </c>
      <c r="H8" s="1">
        <v>45802</v>
      </c>
      <c r="I8" s="1" t="str">
        <f>TEXT(Table1[[#This Row],[Admission Date]],"MMMM")</f>
        <v>May</v>
      </c>
      <c r="J8">
        <v>6</v>
      </c>
      <c r="K8">
        <v>54540</v>
      </c>
    </row>
    <row r="9" spans="1:11" x14ac:dyDescent="0.3">
      <c r="A9" t="s">
        <v>38</v>
      </c>
      <c r="B9" t="s">
        <v>39</v>
      </c>
      <c r="C9">
        <v>67</v>
      </c>
      <c r="D9" t="s">
        <v>18</v>
      </c>
      <c r="E9" t="s">
        <v>40</v>
      </c>
      <c r="F9" t="s">
        <v>15</v>
      </c>
      <c r="G9" s="1">
        <v>45754</v>
      </c>
      <c r="H9" s="1">
        <v>45762</v>
      </c>
      <c r="I9" s="1" t="str">
        <f>TEXT(Table1[[#This Row],[Admission Date]],"MMMM")</f>
        <v>April</v>
      </c>
      <c r="J9">
        <v>8</v>
      </c>
      <c r="K9">
        <v>50416</v>
      </c>
    </row>
    <row r="10" spans="1:11" x14ac:dyDescent="0.3">
      <c r="A10" t="s">
        <v>41</v>
      </c>
      <c r="B10" t="s">
        <v>42</v>
      </c>
      <c r="C10">
        <v>11</v>
      </c>
      <c r="D10" t="s">
        <v>13</v>
      </c>
      <c r="E10" t="s">
        <v>40</v>
      </c>
      <c r="F10" t="s">
        <v>43</v>
      </c>
      <c r="G10" s="1">
        <v>45710</v>
      </c>
      <c r="H10" s="1">
        <v>45713</v>
      </c>
      <c r="I10" s="1" t="str">
        <f>TEXT(Table1[[#This Row],[Admission Date]],"MMMM")</f>
        <v>February</v>
      </c>
      <c r="J10">
        <v>3</v>
      </c>
      <c r="K10">
        <v>23016</v>
      </c>
    </row>
    <row r="11" spans="1:11" x14ac:dyDescent="0.3">
      <c r="A11" t="s">
        <v>44</v>
      </c>
      <c r="B11" t="s">
        <v>45</v>
      </c>
      <c r="C11">
        <v>31</v>
      </c>
      <c r="D11" t="s">
        <v>13</v>
      </c>
      <c r="E11" t="s">
        <v>46</v>
      </c>
      <c r="F11" t="s">
        <v>43</v>
      </c>
      <c r="G11" s="1">
        <v>45810</v>
      </c>
      <c r="H11" s="1">
        <v>45821</v>
      </c>
      <c r="I11" s="1" t="str">
        <f>TEXT(Table1[[#This Row],[Admission Date]],"MMMM")</f>
        <v>June</v>
      </c>
      <c r="J11">
        <v>11</v>
      </c>
      <c r="K11">
        <v>72424</v>
      </c>
    </row>
    <row r="12" spans="1:11" x14ac:dyDescent="0.3">
      <c r="A12" t="s">
        <v>47</v>
      </c>
      <c r="B12" t="s">
        <v>48</v>
      </c>
      <c r="C12">
        <v>87</v>
      </c>
      <c r="D12" t="s">
        <v>18</v>
      </c>
      <c r="E12" t="s">
        <v>49</v>
      </c>
      <c r="F12" t="s">
        <v>43</v>
      </c>
      <c r="G12" s="1">
        <v>45803</v>
      </c>
      <c r="H12" s="1">
        <v>45809</v>
      </c>
      <c r="I12" s="1" t="str">
        <f>TEXT(Table1[[#This Row],[Admission Date]],"MMMM")</f>
        <v>May</v>
      </c>
      <c r="J12">
        <v>6</v>
      </c>
      <c r="K12">
        <v>65796</v>
      </c>
    </row>
    <row r="13" spans="1:11" x14ac:dyDescent="0.3">
      <c r="A13" t="s">
        <v>50</v>
      </c>
      <c r="B13" t="s">
        <v>51</v>
      </c>
      <c r="C13">
        <v>88</v>
      </c>
      <c r="D13" t="s">
        <v>18</v>
      </c>
      <c r="E13" t="s">
        <v>34</v>
      </c>
      <c r="F13" t="s">
        <v>20</v>
      </c>
      <c r="G13" s="1">
        <v>45684</v>
      </c>
      <c r="H13" s="1">
        <v>45685</v>
      </c>
      <c r="I13" s="1" t="str">
        <f>TEXT(Table1[[#This Row],[Admission Date]],"MMMM")</f>
        <v>January</v>
      </c>
      <c r="J13">
        <v>1</v>
      </c>
      <c r="K13">
        <v>9441</v>
      </c>
    </row>
    <row r="14" spans="1:11" x14ac:dyDescent="0.3">
      <c r="A14" t="s">
        <v>52</v>
      </c>
      <c r="B14" t="s">
        <v>53</v>
      </c>
      <c r="C14">
        <v>73</v>
      </c>
      <c r="D14" t="s">
        <v>13</v>
      </c>
      <c r="E14" t="s">
        <v>40</v>
      </c>
      <c r="F14" t="s">
        <v>28</v>
      </c>
      <c r="G14" s="1">
        <v>45909</v>
      </c>
      <c r="H14" s="1">
        <v>45910</v>
      </c>
      <c r="I14" s="1" t="str">
        <f>TEXT(Table1[[#This Row],[Admission Date]],"MMMM")</f>
        <v>September</v>
      </c>
      <c r="J14">
        <v>1</v>
      </c>
      <c r="K14">
        <v>8055</v>
      </c>
    </row>
    <row r="15" spans="1:11" x14ac:dyDescent="0.3">
      <c r="A15" t="s">
        <v>54</v>
      </c>
      <c r="B15" t="s">
        <v>55</v>
      </c>
      <c r="C15">
        <v>25</v>
      </c>
      <c r="D15" t="s">
        <v>13</v>
      </c>
      <c r="E15" t="s">
        <v>46</v>
      </c>
      <c r="F15" t="s">
        <v>35</v>
      </c>
      <c r="G15" s="1">
        <v>45875</v>
      </c>
      <c r="H15" s="1">
        <v>45876</v>
      </c>
      <c r="I15" s="1" t="str">
        <f>TEXT(Table1[[#This Row],[Admission Date]],"MMMM")</f>
        <v>August</v>
      </c>
      <c r="J15">
        <v>1</v>
      </c>
      <c r="K15">
        <v>4070</v>
      </c>
    </row>
    <row r="16" spans="1:11" x14ac:dyDescent="0.3">
      <c r="A16" t="s">
        <v>56</v>
      </c>
      <c r="B16" t="s">
        <v>57</v>
      </c>
      <c r="C16">
        <v>28</v>
      </c>
      <c r="D16" t="s">
        <v>13</v>
      </c>
      <c r="E16" t="s">
        <v>40</v>
      </c>
      <c r="F16" t="s">
        <v>35</v>
      </c>
      <c r="G16" s="1">
        <v>45890</v>
      </c>
      <c r="H16" s="1">
        <v>45902</v>
      </c>
      <c r="I16" s="1" t="str">
        <f>TEXT(Table1[[#This Row],[Admission Date]],"MMMM")</f>
        <v>August</v>
      </c>
      <c r="J16">
        <v>12</v>
      </c>
      <c r="K16">
        <v>100296</v>
      </c>
    </row>
    <row r="17" spans="1:11" x14ac:dyDescent="0.3">
      <c r="A17" t="s">
        <v>58</v>
      </c>
      <c r="B17" t="s">
        <v>59</v>
      </c>
      <c r="C17">
        <v>20</v>
      </c>
      <c r="D17" t="s">
        <v>13</v>
      </c>
      <c r="E17" t="s">
        <v>19</v>
      </c>
      <c r="F17" t="s">
        <v>60</v>
      </c>
      <c r="G17" s="1">
        <v>45968</v>
      </c>
      <c r="H17" s="1">
        <v>45971</v>
      </c>
      <c r="I17" s="1" t="str">
        <f>TEXT(Table1[[#This Row],[Admission Date]],"MMMM")</f>
        <v>November</v>
      </c>
      <c r="J17">
        <v>3</v>
      </c>
      <c r="K17">
        <v>30669</v>
      </c>
    </row>
    <row r="18" spans="1:11" x14ac:dyDescent="0.3">
      <c r="A18" t="s">
        <v>61</v>
      </c>
      <c r="B18" t="s">
        <v>62</v>
      </c>
      <c r="C18">
        <v>3</v>
      </c>
      <c r="D18" t="s">
        <v>18</v>
      </c>
      <c r="E18" t="s">
        <v>34</v>
      </c>
      <c r="F18" t="s">
        <v>63</v>
      </c>
      <c r="G18" s="1">
        <v>45799</v>
      </c>
      <c r="H18" s="1">
        <v>45807</v>
      </c>
      <c r="I18" s="1" t="str">
        <f>TEXT(Table1[[#This Row],[Admission Date]],"MMMM")</f>
        <v>May</v>
      </c>
      <c r="J18">
        <v>8</v>
      </c>
      <c r="K18">
        <v>35360</v>
      </c>
    </row>
    <row r="19" spans="1:11" x14ac:dyDescent="0.3">
      <c r="A19" t="s">
        <v>64</v>
      </c>
      <c r="B19" t="s">
        <v>65</v>
      </c>
      <c r="C19">
        <v>30</v>
      </c>
      <c r="D19" t="s">
        <v>13</v>
      </c>
      <c r="E19" t="s">
        <v>49</v>
      </c>
      <c r="F19" t="s">
        <v>43</v>
      </c>
      <c r="G19" s="1">
        <v>45854</v>
      </c>
      <c r="H19" s="1">
        <v>45861</v>
      </c>
      <c r="I19" s="1" t="str">
        <f>TEXT(Table1[[#This Row],[Admission Date]],"MMMM")</f>
        <v>July</v>
      </c>
      <c r="J19">
        <v>7</v>
      </c>
      <c r="K19">
        <v>72527</v>
      </c>
    </row>
    <row r="20" spans="1:11" x14ac:dyDescent="0.3">
      <c r="A20" t="s">
        <v>66</v>
      </c>
      <c r="B20" t="s">
        <v>67</v>
      </c>
      <c r="C20">
        <v>24</v>
      </c>
      <c r="D20" t="s">
        <v>18</v>
      </c>
      <c r="E20" t="s">
        <v>49</v>
      </c>
      <c r="F20" t="s">
        <v>24</v>
      </c>
      <c r="G20" s="1">
        <v>45858</v>
      </c>
      <c r="H20" s="1">
        <v>45871</v>
      </c>
      <c r="I20" s="1" t="str">
        <f>TEXT(Table1[[#This Row],[Admission Date]],"MMMM")</f>
        <v>July</v>
      </c>
      <c r="J20">
        <v>13</v>
      </c>
      <c r="K20">
        <v>140725</v>
      </c>
    </row>
    <row r="21" spans="1:11" x14ac:dyDescent="0.3">
      <c r="A21" t="s">
        <v>68</v>
      </c>
      <c r="B21" t="s">
        <v>69</v>
      </c>
      <c r="C21">
        <v>23</v>
      </c>
      <c r="D21" t="s">
        <v>13</v>
      </c>
      <c r="E21" t="s">
        <v>14</v>
      </c>
      <c r="F21" t="s">
        <v>20</v>
      </c>
      <c r="G21" s="1">
        <v>45868</v>
      </c>
      <c r="H21" s="1">
        <v>45880</v>
      </c>
      <c r="I21" s="1" t="str">
        <f>TEXT(Table1[[#This Row],[Admission Date]],"MMMM")</f>
        <v>July</v>
      </c>
      <c r="J21">
        <v>12</v>
      </c>
      <c r="K21">
        <v>133740</v>
      </c>
    </row>
    <row r="22" spans="1:11" x14ac:dyDescent="0.3">
      <c r="A22" t="s">
        <v>70</v>
      </c>
      <c r="B22" t="s">
        <v>71</v>
      </c>
      <c r="C22">
        <v>22</v>
      </c>
      <c r="D22" t="s">
        <v>18</v>
      </c>
      <c r="E22" t="s">
        <v>46</v>
      </c>
      <c r="F22" t="s">
        <v>35</v>
      </c>
      <c r="G22" s="1">
        <v>45930</v>
      </c>
      <c r="H22" s="1">
        <v>45935</v>
      </c>
      <c r="I22" s="1" t="str">
        <f>TEXT(Table1[[#This Row],[Admission Date]],"MMMM")</f>
        <v>September</v>
      </c>
      <c r="J22">
        <v>5</v>
      </c>
      <c r="K22">
        <v>45900</v>
      </c>
    </row>
    <row r="23" spans="1:11" x14ac:dyDescent="0.3">
      <c r="A23" t="s">
        <v>72</v>
      </c>
      <c r="B23" t="s">
        <v>73</v>
      </c>
      <c r="C23">
        <v>48</v>
      </c>
      <c r="D23" t="s">
        <v>18</v>
      </c>
      <c r="E23" t="s">
        <v>27</v>
      </c>
      <c r="F23" t="s">
        <v>20</v>
      </c>
      <c r="G23" s="1">
        <v>45951</v>
      </c>
      <c r="H23" s="1">
        <v>45954</v>
      </c>
      <c r="I23" s="1" t="str">
        <f>TEXT(Table1[[#This Row],[Admission Date]],"MMMM")</f>
        <v>October</v>
      </c>
      <c r="J23">
        <v>3</v>
      </c>
      <c r="K23">
        <v>28968</v>
      </c>
    </row>
    <row r="24" spans="1:11" x14ac:dyDescent="0.3">
      <c r="A24" t="s">
        <v>74</v>
      </c>
      <c r="B24" t="s">
        <v>75</v>
      </c>
      <c r="C24">
        <v>59</v>
      </c>
      <c r="D24" t="s">
        <v>18</v>
      </c>
      <c r="E24" t="s">
        <v>27</v>
      </c>
      <c r="F24" t="s">
        <v>15</v>
      </c>
      <c r="G24" s="1">
        <v>45919</v>
      </c>
      <c r="H24" s="1">
        <v>45932</v>
      </c>
      <c r="I24" s="1" t="str">
        <f>TEXT(Table1[[#This Row],[Admission Date]],"MMMM")</f>
        <v>September</v>
      </c>
      <c r="J24">
        <v>13</v>
      </c>
      <c r="K24">
        <v>137761</v>
      </c>
    </row>
    <row r="25" spans="1:11" x14ac:dyDescent="0.3">
      <c r="A25" t="s">
        <v>76</v>
      </c>
      <c r="B25" t="s">
        <v>77</v>
      </c>
      <c r="C25">
        <v>6</v>
      </c>
      <c r="D25" t="s">
        <v>18</v>
      </c>
      <c r="E25" t="s">
        <v>31</v>
      </c>
      <c r="F25" t="s">
        <v>43</v>
      </c>
      <c r="G25" s="1">
        <v>45988</v>
      </c>
      <c r="H25" s="1">
        <v>45994</v>
      </c>
      <c r="I25" s="1" t="str">
        <f>TEXT(Table1[[#This Row],[Admission Date]],"MMMM")</f>
        <v>November</v>
      </c>
      <c r="J25">
        <v>6</v>
      </c>
      <c r="K25">
        <v>51582</v>
      </c>
    </row>
    <row r="26" spans="1:11" x14ac:dyDescent="0.3">
      <c r="A26" t="s">
        <v>78</v>
      </c>
      <c r="B26" t="s">
        <v>79</v>
      </c>
      <c r="C26">
        <v>88</v>
      </c>
      <c r="D26" t="s">
        <v>13</v>
      </c>
      <c r="E26" t="s">
        <v>46</v>
      </c>
      <c r="F26" t="s">
        <v>28</v>
      </c>
      <c r="G26" s="1">
        <v>45823</v>
      </c>
      <c r="H26" s="1">
        <v>45828</v>
      </c>
      <c r="I26" s="1" t="str">
        <f>TEXT(Table1[[#This Row],[Admission Date]],"MMMM")</f>
        <v>June</v>
      </c>
      <c r="J26">
        <v>5</v>
      </c>
      <c r="K26">
        <v>50795</v>
      </c>
    </row>
    <row r="27" spans="1:11" x14ac:dyDescent="0.3">
      <c r="A27" t="s">
        <v>80</v>
      </c>
      <c r="B27" t="s">
        <v>37</v>
      </c>
      <c r="C27">
        <v>67</v>
      </c>
      <c r="D27" t="s">
        <v>13</v>
      </c>
      <c r="E27" t="s">
        <v>49</v>
      </c>
      <c r="F27" t="s">
        <v>15</v>
      </c>
      <c r="G27" s="1">
        <v>45680</v>
      </c>
      <c r="H27" s="1">
        <v>45688</v>
      </c>
      <c r="I27" s="1" t="str">
        <f>TEXT(Table1[[#This Row],[Admission Date]],"MMMM")</f>
        <v>January</v>
      </c>
      <c r="J27">
        <v>8</v>
      </c>
      <c r="K27">
        <v>49008</v>
      </c>
    </row>
    <row r="28" spans="1:11" x14ac:dyDescent="0.3">
      <c r="A28" t="s">
        <v>81</v>
      </c>
      <c r="B28" t="s">
        <v>17</v>
      </c>
      <c r="C28">
        <v>53</v>
      </c>
      <c r="D28" t="s">
        <v>18</v>
      </c>
      <c r="E28" t="s">
        <v>49</v>
      </c>
      <c r="F28" t="s">
        <v>20</v>
      </c>
      <c r="G28" s="1">
        <v>45739</v>
      </c>
      <c r="H28" s="1">
        <v>45741</v>
      </c>
      <c r="I28" s="1" t="str">
        <f>TEXT(Table1[[#This Row],[Admission Date]],"MMMM")</f>
        <v>March</v>
      </c>
      <c r="J28">
        <v>2</v>
      </c>
      <c r="K28">
        <v>21046</v>
      </c>
    </row>
    <row r="29" spans="1:11" x14ac:dyDescent="0.3">
      <c r="A29" t="s">
        <v>82</v>
      </c>
      <c r="B29" t="s">
        <v>83</v>
      </c>
      <c r="C29">
        <v>28</v>
      </c>
      <c r="D29" t="s">
        <v>18</v>
      </c>
      <c r="E29" t="s">
        <v>49</v>
      </c>
      <c r="F29" t="s">
        <v>24</v>
      </c>
      <c r="G29" s="1">
        <v>45690</v>
      </c>
      <c r="H29" s="1">
        <v>45694</v>
      </c>
      <c r="I29" s="1" t="str">
        <f>TEXT(Table1[[#This Row],[Admission Date]],"MMMM")</f>
        <v>February</v>
      </c>
      <c r="J29">
        <v>4</v>
      </c>
      <c r="K29">
        <v>47856</v>
      </c>
    </row>
    <row r="30" spans="1:11" x14ac:dyDescent="0.3">
      <c r="A30" t="s">
        <v>84</v>
      </c>
      <c r="B30" t="s">
        <v>85</v>
      </c>
      <c r="C30">
        <v>69</v>
      </c>
      <c r="D30" t="s">
        <v>18</v>
      </c>
      <c r="E30" t="s">
        <v>23</v>
      </c>
      <c r="F30" t="s">
        <v>28</v>
      </c>
      <c r="G30" s="1">
        <v>45681</v>
      </c>
      <c r="H30" s="1">
        <v>45686</v>
      </c>
      <c r="I30" s="1" t="str">
        <f>TEXT(Table1[[#This Row],[Admission Date]],"MMMM")</f>
        <v>January</v>
      </c>
      <c r="J30">
        <v>5</v>
      </c>
      <c r="K30">
        <v>32990</v>
      </c>
    </row>
    <row r="31" spans="1:11" x14ac:dyDescent="0.3">
      <c r="A31" t="s">
        <v>86</v>
      </c>
      <c r="B31" t="s">
        <v>87</v>
      </c>
      <c r="C31">
        <v>77</v>
      </c>
      <c r="D31" t="s">
        <v>13</v>
      </c>
      <c r="E31" t="s">
        <v>34</v>
      </c>
      <c r="F31" t="s">
        <v>63</v>
      </c>
      <c r="G31" s="1">
        <v>45903</v>
      </c>
      <c r="H31" s="1">
        <v>45914</v>
      </c>
      <c r="I31" s="1" t="str">
        <f>TEXT(Table1[[#This Row],[Admission Date]],"MMMM")</f>
        <v>September</v>
      </c>
      <c r="J31">
        <v>11</v>
      </c>
      <c r="K31">
        <v>76351</v>
      </c>
    </row>
    <row r="32" spans="1:11" x14ac:dyDescent="0.3">
      <c r="A32" t="s">
        <v>88</v>
      </c>
      <c r="B32" t="s">
        <v>62</v>
      </c>
      <c r="C32">
        <v>83</v>
      </c>
      <c r="D32" t="s">
        <v>13</v>
      </c>
      <c r="E32" t="s">
        <v>49</v>
      </c>
      <c r="F32" t="s">
        <v>35</v>
      </c>
      <c r="G32" s="1">
        <v>45748</v>
      </c>
      <c r="H32" s="1">
        <v>45749</v>
      </c>
      <c r="I32" s="1" t="str">
        <f>TEXT(Table1[[#This Row],[Admission Date]],"MMMM")</f>
        <v>April</v>
      </c>
      <c r="J32">
        <v>1</v>
      </c>
      <c r="K32">
        <v>5290</v>
      </c>
    </row>
    <row r="33" spans="1:11" x14ac:dyDescent="0.3">
      <c r="A33" t="s">
        <v>89</v>
      </c>
      <c r="B33" t="s">
        <v>90</v>
      </c>
      <c r="C33">
        <v>73</v>
      </c>
      <c r="D33" t="s">
        <v>13</v>
      </c>
      <c r="E33" t="s">
        <v>31</v>
      </c>
      <c r="F33" t="s">
        <v>15</v>
      </c>
      <c r="G33" s="1">
        <v>45766</v>
      </c>
      <c r="H33" s="1">
        <v>45771</v>
      </c>
      <c r="I33" s="1" t="str">
        <f>TEXT(Table1[[#This Row],[Admission Date]],"MMMM")</f>
        <v>April</v>
      </c>
      <c r="J33">
        <v>5</v>
      </c>
      <c r="K33">
        <v>29410</v>
      </c>
    </row>
    <row r="34" spans="1:11" x14ac:dyDescent="0.3">
      <c r="A34" t="s">
        <v>91</v>
      </c>
      <c r="B34" t="s">
        <v>92</v>
      </c>
      <c r="C34">
        <v>87</v>
      </c>
      <c r="D34" t="s">
        <v>18</v>
      </c>
      <c r="E34" t="s">
        <v>40</v>
      </c>
      <c r="F34" t="s">
        <v>24</v>
      </c>
      <c r="G34" s="1">
        <v>45904</v>
      </c>
      <c r="H34" s="1">
        <v>45919</v>
      </c>
      <c r="I34" s="1" t="str">
        <f>TEXT(Table1[[#This Row],[Admission Date]],"MMMM")</f>
        <v>September</v>
      </c>
      <c r="J34">
        <v>15</v>
      </c>
      <c r="K34">
        <v>169050</v>
      </c>
    </row>
    <row r="35" spans="1:11" x14ac:dyDescent="0.3">
      <c r="A35" t="s">
        <v>93</v>
      </c>
      <c r="B35" t="s">
        <v>94</v>
      </c>
      <c r="C35">
        <v>36</v>
      </c>
      <c r="D35" t="s">
        <v>13</v>
      </c>
      <c r="E35" t="s">
        <v>34</v>
      </c>
      <c r="F35" t="s">
        <v>24</v>
      </c>
      <c r="G35" s="1">
        <v>45916</v>
      </c>
      <c r="H35" s="1">
        <v>45927</v>
      </c>
      <c r="I35" s="1" t="str">
        <f>TEXT(Table1[[#This Row],[Admission Date]],"MMMM")</f>
        <v>September</v>
      </c>
      <c r="J35">
        <v>11</v>
      </c>
      <c r="K35">
        <v>83446</v>
      </c>
    </row>
    <row r="36" spans="1:11" x14ac:dyDescent="0.3">
      <c r="A36" t="s">
        <v>95</v>
      </c>
      <c r="B36" t="s">
        <v>42</v>
      </c>
      <c r="C36">
        <v>35</v>
      </c>
      <c r="D36" t="s">
        <v>18</v>
      </c>
      <c r="E36" t="s">
        <v>27</v>
      </c>
      <c r="F36" t="s">
        <v>28</v>
      </c>
      <c r="G36" s="1">
        <v>45971</v>
      </c>
      <c r="H36" s="1">
        <v>45986</v>
      </c>
      <c r="I36" s="1" t="str">
        <f>TEXT(Table1[[#This Row],[Admission Date]],"MMMM")</f>
        <v>November</v>
      </c>
      <c r="J36">
        <v>15</v>
      </c>
      <c r="K36">
        <v>161385</v>
      </c>
    </row>
    <row r="37" spans="1:11" x14ac:dyDescent="0.3">
      <c r="A37" t="s">
        <v>96</v>
      </c>
      <c r="B37" t="s">
        <v>97</v>
      </c>
      <c r="C37">
        <v>60</v>
      </c>
      <c r="D37" t="s">
        <v>13</v>
      </c>
      <c r="E37" t="s">
        <v>49</v>
      </c>
      <c r="F37" t="s">
        <v>15</v>
      </c>
      <c r="G37" s="1">
        <v>45888</v>
      </c>
      <c r="H37" s="1">
        <v>45892</v>
      </c>
      <c r="I37" s="1" t="str">
        <f>TEXT(Table1[[#This Row],[Admission Date]],"MMMM")</f>
        <v>August</v>
      </c>
      <c r="J37">
        <v>4</v>
      </c>
      <c r="K37">
        <v>36696</v>
      </c>
    </row>
    <row r="38" spans="1:11" x14ac:dyDescent="0.3">
      <c r="A38" t="s">
        <v>98</v>
      </c>
      <c r="B38" t="s">
        <v>99</v>
      </c>
      <c r="C38">
        <v>62</v>
      </c>
      <c r="D38" t="s">
        <v>18</v>
      </c>
      <c r="E38" t="s">
        <v>49</v>
      </c>
      <c r="F38" t="s">
        <v>15</v>
      </c>
      <c r="G38" s="1">
        <v>45669</v>
      </c>
      <c r="H38" s="1">
        <v>45676</v>
      </c>
      <c r="I38" s="1" t="str">
        <f>TEXT(Table1[[#This Row],[Admission Date]],"MMMM")</f>
        <v>January</v>
      </c>
      <c r="J38">
        <v>7</v>
      </c>
      <c r="K38">
        <v>64491</v>
      </c>
    </row>
    <row r="39" spans="1:11" x14ac:dyDescent="0.3">
      <c r="A39" t="s">
        <v>100</v>
      </c>
      <c r="B39" t="s">
        <v>101</v>
      </c>
      <c r="C39">
        <v>79</v>
      </c>
      <c r="D39" t="s">
        <v>18</v>
      </c>
      <c r="E39" t="s">
        <v>19</v>
      </c>
      <c r="F39" t="s">
        <v>35</v>
      </c>
      <c r="G39" s="1">
        <v>45767</v>
      </c>
      <c r="H39" s="1">
        <v>45769</v>
      </c>
      <c r="I39" s="1" t="str">
        <f>TEXT(Table1[[#This Row],[Admission Date]],"MMMM")</f>
        <v>April</v>
      </c>
      <c r="J39">
        <v>2</v>
      </c>
      <c r="K39">
        <v>22200</v>
      </c>
    </row>
    <row r="40" spans="1:11" x14ac:dyDescent="0.3">
      <c r="A40" t="s">
        <v>102</v>
      </c>
      <c r="B40" t="s">
        <v>90</v>
      </c>
      <c r="C40">
        <v>90</v>
      </c>
      <c r="D40" t="s">
        <v>13</v>
      </c>
      <c r="E40" t="s">
        <v>103</v>
      </c>
      <c r="F40" t="s">
        <v>60</v>
      </c>
      <c r="G40" s="1">
        <v>46010</v>
      </c>
      <c r="H40" s="1">
        <v>46011</v>
      </c>
      <c r="I40" s="1" t="str">
        <f>TEXT(Table1[[#This Row],[Admission Date]],"MMMM")</f>
        <v>December</v>
      </c>
      <c r="J40">
        <v>1</v>
      </c>
      <c r="K40">
        <v>7198</v>
      </c>
    </row>
    <row r="41" spans="1:11" x14ac:dyDescent="0.3">
      <c r="A41" t="s">
        <v>104</v>
      </c>
      <c r="B41" t="s">
        <v>105</v>
      </c>
      <c r="C41">
        <v>8</v>
      </c>
      <c r="D41" t="s">
        <v>18</v>
      </c>
      <c r="E41" t="s">
        <v>23</v>
      </c>
      <c r="F41" t="s">
        <v>43</v>
      </c>
      <c r="G41" s="1">
        <v>45886</v>
      </c>
      <c r="H41" s="1">
        <v>45896</v>
      </c>
      <c r="I41" s="1" t="str">
        <f>TEXT(Table1[[#This Row],[Admission Date]],"MMMM")</f>
        <v>August</v>
      </c>
      <c r="J41">
        <v>10</v>
      </c>
      <c r="K41">
        <v>116070</v>
      </c>
    </row>
    <row r="42" spans="1:11" x14ac:dyDescent="0.3">
      <c r="A42" t="s">
        <v>106</v>
      </c>
      <c r="B42" t="s">
        <v>71</v>
      </c>
      <c r="C42">
        <v>81</v>
      </c>
      <c r="D42" t="s">
        <v>18</v>
      </c>
      <c r="E42" t="s">
        <v>27</v>
      </c>
      <c r="F42" t="s">
        <v>35</v>
      </c>
      <c r="G42" s="1">
        <v>45685</v>
      </c>
      <c r="H42" s="1">
        <v>45690</v>
      </c>
      <c r="I42" s="1" t="str">
        <f>TEXT(Table1[[#This Row],[Admission Date]],"MMMM")</f>
        <v>January</v>
      </c>
      <c r="J42">
        <v>5</v>
      </c>
      <c r="K42">
        <v>45295</v>
      </c>
    </row>
    <row r="43" spans="1:11" x14ac:dyDescent="0.3">
      <c r="A43" t="s">
        <v>107</v>
      </c>
      <c r="B43" t="s">
        <v>108</v>
      </c>
      <c r="C43">
        <v>61</v>
      </c>
      <c r="D43" t="s">
        <v>13</v>
      </c>
      <c r="E43" t="s">
        <v>46</v>
      </c>
      <c r="F43" t="s">
        <v>43</v>
      </c>
      <c r="G43" s="1">
        <v>45667</v>
      </c>
      <c r="H43" s="1">
        <v>45673</v>
      </c>
      <c r="I43" s="1" t="str">
        <f>TEXT(Table1[[#This Row],[Admission Date]],"MMMM")</f>
        <v>January</v>
      </c>
      <c r="J43">
        <v>6</v>
      </c>
      <c r="K43">
        <v>46962</v>
      </c>
    </row>
    <row r="44" spans="1:11" x14ac:dyDescent="0.3">
      <c r="A44" t="s">
        <v>109</v>
      </c>
      <c r="B44" t="s">
        <v>110</v>
      </c>
      <c r="C44">
        <v>10</v>
      </c>
      <c r="D44" t="s">
        <v>18</v>
      </c>
      <c r="E44" t="s">
        <v>23</v>
      </c>
      <c r="F44" t="s">
        <v>35</v>
      </c>
      <c r="G44" s="1">
        <v>45835</v>
      </c>
      <c r="H44" s="1">
        <v>45846</v>
      </c>
      <c r="I44" s="1" t="str">
        <f>TEXT(Table1[[#This Row],[Admission Date]],"MMMM")</f>
        <v>June</v>
      </c>
      <c r="J44">
        <v>11</v>
      </c>
      <c r="K44">
        <v>58355</v>
      </c>
    </row>
    <row r="45" spans="1:11" x14ac:dyDescent="0.3">
      <c r="A45" t="s">
        <v>111</v>
      </c>
      <c r="B45" t="s">
        <v>65</v>
      </c>
      <c r="C45">
        <v>68</v>
      </c>
      <c r="D45" t="s">
        <v>18</v>
      </c>
      <c r="E45" t="s">
        <v>103</v>
      </c>
      <c r="F45" t="s">
        <v>28</v>
      </c>
      <c r="G45" s="1">
        <v>45865</v>
      </c>
      <c r="H45" s="1">
        <v>45869</v>
      </c>
      <c r="I45" s="1" t="str">
        <f>TEXT(Table1[[#This Row],[Admission Date]],"MMMM")</f>
        <v>July</v>
      </c>
      <c r="J45">
        <v>4</v>
      </c>
      <c r="K45">
        <v>36504</v>
      </c>
    </row>
    <row r="46" spans="1:11" x14ac:dyDescent="0.3">
      <c r="A46" t="s">
        <v>112</v>
      </c>
      <c r="B46" t="s">
        <v>113</v>
      </c>
      <c r="C46">
        <v>21</v>
      </c>
      <c r="D46" t="s">
        <v>13</v>
      </c>
      <c r="E46" t="s">
        <v>40</v>
      </c>
      <c r="F46" t="s">
        <v>28</v>
      </c>
      <c r="G46" s="1">
        <v>45975</v>
      </c>
      <c r="H46" s="1">
        <v>45979</v>
      </c>
      <c r="I46" s="1" t="str">
        <f>TEXT(Table1[[#This Row],[Admission Date]],"MMMM")</f>
        <v>November</v>
      </c>
      <c r="J46">
        <v>4</v>
      </c>
      <c r="K46">
        <v>16600</v>
      </c>
    </row>
    <row r="47" spans="1:11" x14ac:dyDescent="0.3">
      <c r="A47" t="s">
        <v>114</v>
      </c>
      <c r="B47" t="s">
        <v>115</v>
      </c>
      <c r="C47">
        <v>34</v>
      </c>
      <c r="D47" t="s">
        <v>18</v>
      </c>
      <c r="E47" t="s">
        <v>34</v>
      </c>
      <c r="F47" t="s">
        <v>35</v>
      </c>
      <c r="G47" s="1">
        <v>45704</v>
      </c>
      <c r="H47" s="1">
        <v>45711</v>
      </c>
      <c r="I47" s="1" t="str">
        <f>TEXT(Table1[[#This Row],[Admission Date]],"MMMM")</f>
        <v>February</v>
      </c>
      <c r="J47">
        <v>7</v>
      </c>
      <c r="K47">
        <v>78148</v>
      </c>
    </row>
    <row r="48" spans="1:11" x14ac:dyDescent="0.3">
      <c r="A48" t="s">
        <v>116</v>
      </c>
      <c r="B48" t="s">
        <v>117</v>
      </c>
      <c r="C48">
        <v>22</v>
      </c>
      <c r="D48" t="s">
        <v>13</v>
      </c>
      <c r="E48" t="s">
        <v>34</v>
      </c>
      <c r="F48" t="s">
        <v>63</v>
      </c>
      <c r="G48" s="1">
        <v>45801</v>
      </c>
      <c r="H48" s="1">
        <v>45809</v>
      </c>
      <c r="I48" s="1" t="str">
        <f>TEXT(Table1[[#This Row],[Admission Date]],"MMMM")</f>
        <v>May</v>
      </c>
      <c r="J48">
        <v>8</v>
      </c>
      <c r="K48">
        <v>41192</v>
      </c>
    </row>
    <row r="49" spans="1:11" x14ac:dyDescent="0.3">
      <c r="A49" t="s">
        <v>118</v>
      </c>
      <c r="B49" t="s">
        <v>119</v>
      </c>
      <c r="C49">
        <v>71</v>
      </c>
      <c r="D49" t="s">
        <v>18</v>
      </c>
      <c r="E49" t="s">
        <v>27</v>
      </c>
      <c r="F49" t="s">
        <v>20</v>
      </c>
      <c r="G49" s="1">
        <v>45898</v>
      </c>
      <c r="H49" s="1">
        <v>45912</v>
      </c>
      <c r="I49" s="1" t="str">
        <f>TEXT(Table1[[#This Row],[Admission Date]],"MMMM")</f>
        <v>August</v>
      </c>
      <c r="J49">
        <v>14</v>
      </c>
      <c r="K49">
        <v>65142</v>
      </c>
    </row>
    <row r="50" spans="1:11" x14ac:dyDescent="0.3">
      <c r="A50" t="s">
        <v>120</v>
      </c>
      <c r="B50" t="s">
        <v>121</v>
      </c>
      <c r="C50">
        <v>28</v>
      </c>
      <c r="D50" t="s">
        <v>18</v>
      </c>
      <c r="E50" t="s">
        <v>31</v>
      </c>
      <c r="F50" t="s">
        <v>15</v>
      </c>
      <c r="G50" s="1">
        <v>45665</v>
      </c>
      <c r="H50" s="1">
        <v>45667</v>
      </c>
      <c r="I50" s="1" t="str">
        <f>TEXT(Table1[[#This Row],[Admission Date]],"MMMM")</f>
        <v>January</v>
      </c>
      <c r="J50">
        <v>2</v>
      </c>
      <c r="K50">
        <v>8162</v>
      </c>
    </row>
    <row r="51" spans="1:11" x14ac:dyDescent="0.3">
      <c r="A51" t="s">
        <v>122</v>
      </c>
      <c r="B51" t="s">
        <v>79</v>
      </c>
      <c r="C51">
        <v>40</v>
      </c>
      <c r="D51" t="s">
        <v>18</v>
      </c>
      <c r="E51" t="s">
        <v>19</v>
      </c>
      <c r="F51" t="s">
        <v>43</v>
      </c>
      <c r="G51" s="1">
        <v>45995</v>
      </c>
      <c r="H51" s="1">
        <v>45999</v>
      </c>
      <c r="I51" s="1" t="str">
        <f>TEXT(Table1[[#This Row],[Admission Date]],"MMMM")</f>
        <v>December</v>
      </c>
      <c r="J51">
        <v>4</v>
      </c>
      <c r="K51">
        <v>24028</v>
      </c>
    </row>
    <row r="52" spans="1:11" x14ac:dyDescent="0.3">
      <c r="A52" t="s">
        <v>123</v>
      </c>
      <c r="B52" t="s">
        <v>124</v>
      </c>
      <c r="C52">
        <v>75</v>
      </c>
      <c r="D52" t="s">
        <v>18</v>
      </c>
      <c r="E52" t="s">
        <v>46</v>
      </c>
      <c r="F52" t="s">
        <v>35</v>
      </c>
      <c r="G52" s="1">
        <v>45922</v>
      </c>
      <c r="H52" s="1">
        <v>45925</v>
      </c>
      <c r="I52" s="1" t="str">
        <f>TEXT(Table1[[#This Row],[Admission Date]],"MMMM")</f>
        <v>September</v>
      </c>
      <c r="J52">
        <v>3</v>
      </c>
      <c r="K52">
        <v>33387</v>
      </c>
    </row>
    <row r="53" spans="1:11" x14ac:dyDescent="0.3">
      <c r="A53" t="s">
        <v>125</v>
      </c>
      <c r="B53" t="s">
        <v>126</v>
      </c>
      <c r="C53">
        <v>39</v>
      </c>
      <c r="D53" t="s">
        <v>18</v>
      </c>
      <c r="E53" t="s">
        <v>27</v>
      </c>
      <c r="F53" t="s">
        <v>28</v>
      </c>
      <c r="G53" s="1">
        <v>46006</v>
      </c>
      <c r="H53" s="1">
        <v>46016</v>
      </c>
      <c r="I53" s="1" t="str">
        <f>TEXT(Table1[[#This Row],[Admission Date]],"MMMM")</f>
        <v>December</v>
      </c>
      <c r="J53">
        <v>10</v>
      </c>
      <c r="K53">
        <v>70540</v>
      </c>
    </row>
    <row r="54" spans="1:11" x14ac:dyDescent="0.3">
      <c r="A54" t="s">
        <v>127</v>
      </c>
      <c r="B54" t="s">
        <v>128</v>
      </c>
      <c r="C54">
        <v>36</v>
      </c>
      <c r="D54" t="s">
        <v>13</v>
      </c>
      <c r="E54" t="s">
        <v>40</v>
      </c>
      <c r="F54" t="s">
        <v>15</v>
      </c>
      <c r="G54" s="1">
        <v>45925</v>
      </c>
      <c r="H54" s="1">
        <v>45940</v>
      </c>
      <c r="I54" s="1" t="str">
        <f>TEXT(Table1[[#This Row],[Admission Date]],"MMMM")</f>
        <v>September</v>
      </c>
      <c r="J54">
        <v>15</v>
      </c>
      <c r="K54">
        <v>161925</v>
      </c>
    </row>
    <row r="55" spans="1:11" x14ac:dyDescent="0.3">
      <c r="A55" t="s">
        <v>129</v>
      </c>
      <c r="B55" t="s">
        <v>110</v>
      </c>
      <c r="C55">
        <v>73</v>
      </c>
      <c r="D55" t="s">
        <v>13</v>
      </c>
      <c r="E55" t="s">
        <v>27</v>
      </c>
      <c r="F55" t="s">
        <v>63</v>
      </c>
      <c r="G55" s="1">
        <v>45944</v>
      </c>
      <c r="H55" s="1">
        <v>45947</v>
      </c>
      <c r="I55" s="1" t="str">
        <f>TEXT(Table1[[#This Row],[Admission Date]],"MMMM")</f>
        <v>October</v>
      </c>
      <c r="J55">
        <v>3</v>
      </c>
      <c r="K55">
        <v>32340</v>
      </c>
    </row>
    <row r="56" spans="1:11" x14ac:dyDescent="0.3">
      <c r="A56" t="s">
        <v>130</v>
      </c>
      <c r="B56" t="s">
        <v>131</v>
      </c>
      <c r="C56">
        <v>79</v>
      </c>
      <c r="D56" t="s">
        <v>18</v>
      </c>
      <c r="E56" t="s">
        <v>31</v>
      </c>
      <c r="F56" t="s">
        <v>43</v>
      </c>
      <c r="G56" s="1">
        <v>45809</v>
      </c>
      <c r="H56" s="1">
        <v>45822</v>
      </c>
      <c r="I56" s="1" t="str">
        <f>TEXT(Table1[[#This Row],[Admission Date]],"MMMM")</f>
        <v>June</v>
      </c>
      <c r="J56">
        <v>13</v>
      </c>
      <c r="K56">
        <v>98137</v>
      </c>
    </row>
    <row r="57" spans="1:11" x14ac:dyDescent="0.3">
      <c r="A57" t="s">
        <v>132</v>
      </c>
      <c r="B57" t="s">
        <v>133</v>
      </c>
      <c r="C57">
        <v>65</v>
      </c>
      <c r="D57" t="s">
        <v>13</v>
      </c>
      <c r="E57" t="s">
        <v>27</v>
      </c>
      <c r="F57" t="s">
        <v>24</v>
      </c>
      <c r="G57" s="1">
        <v>45763</v>
      </c>
      <c r="H57" s="1">
        <v>45765</v>
      </c>
      <c r="I57" s="1" t="str">
        <f>TEXT(Table1[[#This Row],[Admission Date]],"MMMM")</f>
        <v>April</v>
      </c>
      <c r="J57">
        <v>2</v>
      </c>
      <c r="K57">
        <v>17530</v>
      </c>
    </row>
    <row r="58" spans="1:11" x14ac:dyDescent="0.3">
      <c r="A58" t="s">
        <v>134</v>
      </c>
      <c r="B58" t="s">
        <v>135</v>
      </c>
      <c r="C58">
        <v>81</v>
      </c>
      <c r="D58" t="s">
        <v>13</v>
      </c>
      <c r="E58" t="s">
        <v>27</v>
      </c>
      <c r="F58" t="s">
        <v>35</v>
      </c>
      <c r="G58" s="1">
        <v>45721</v>
      </c>
      <c r="H58" s="1">
        <v>45723</v>
      </c>
      <c r="I58" s="1" t="str">
        <f>TEXT(Table1[[#This Row],[Admission Date]],"MMMM")</f>
        <v>March</v>
      </c>
      <c r="J58">
        <v>2</v>
      </c>
      <c r="K58">
        <v>13930</v>
      </c>
    </row>
    <row r="59" spans="1:11" x14ac:dyDescent="0.3">
      <c r="A59" t="s">
        <v>136</v>
      </c>
      <c r="B59" t="s">
        <v>108</v>
      </c>
      <c r="C59">
        <v>52</v>
      </c>
      <c r="D59" t="s">
        <v>18</v>
      </c>
      <c r="E59" t="s">
        <v>19</v>
      </c>
      <c r="F59" t="s">
        <v>28</v>
      </c>
      <c r="G59" s="1">
        <v>45736</v>
      </c>
      <c r="H59" s="1">
        <v>45749</v>
      </c>
      <c r="I59" s="1" t="str">
        <f>TEXT(Table1[[#This Row],[Admission Date]],"MMMM")</f>
        <v>March</v>
      </c>
      <c r="J59">
        <v>13</v>
      </c>
      <c r="K59">
        <v>125242</v>
      </c>
    </row>
    <row r="60" spans="1:11" x14ac:dyDescent="0.3">
      <c r="A60" t="s">
        <v>137</v>
      </c>
      <c r="B60" t="s">
        <v>138</v>
      </c>
      <c r="C60">
        <v>61</v>
      </c>
      <c r="D60" t="s">
        <v>18</v>
      </c>
      <c r="E60" t="s">
        <v>103</v>
      </c>
      <c r="F60" t="s">
        <v>35</v>
      </c>
      <c r="G60" s="1">
        <v>45800</v>
      </c>
      <c r="H60" s="1">
        <v>45806</v>
      </c>
      <c r="I60" s="1" t="str">
        <f>TEXT(Table1[[#This Row],[Admission Date]],"MMMM")</f>
        <v>May</v>
      </c>
      <c r="J60">
        <v>6</v>
      </c>
      <c r="K60">
        <v>45582</v>
      </c>
    </row>
    <row r="61" spans="1:11" x14ac:dyDescent="0.3">
      <c r="A61" t="s">
        <v>139</v>
      </c>
      <c r="B61" t="s">
        <v>140</v>
      </c>
      <c r="C61">
        <v>48</v>
      </c>
      <c r="D61" t="s">
        <v>13</v>
      </c>
      <c r="E61" t="s">
        <v>49</v>
      </c>
      <c r="F61" t="s">
        <v>35</v>
      </c>
      <c r="G61" s="1">
        <v>45693</v>
      </c>
      <c r="H61" s="1">
        <v>45708</v>
      </c>
      <c r="I61" s="1" t="str">
        <f>TEXT(Table1[[#This Row],[Admission Date]],"MMMM")</f>
        <v>February</v>
      </c>
      <c r="J61">
        <v>15</v>
      </c>
      <c r="K61">
        <v>127710</v>
      </c>
    </row>
    <row r="62" spans="1:11" x14ac:dyDescent="0.3">
      <c r="A62" t="s">
        <v>141</v>
      </c>
      <c r="B62" t="s">
        <v>124</v>
      </c>
      <c r="C62">
        <v>29</v>
      </c>
      <c r="D62" t="s">
        <v>13</v>
      </c>
      <c r="E62" t="s">
        <v>34</v>
      </c>
      <c r="F62" t="s">
        <v>24</v>
      </c>
      <c r="G62" s="1">
        <v>45794</v>
      </c>
      <c r="H62" s="1">
        <v>45796</v>
      </c>
      <c r="I62" s="1" t="str">
        <f>TEXT(Table1[[#This Row],[Admission Date]],"MMMM")</f>
        <v>May</v>
      </c>
      <c r="J62">
        <v>2</v>
      </c>
      <c r="K62">
        <v>10778</v>
      </c>
    </row>
    <row r="63" spans="1:11" x14ac:dyDescent="0.3">
      <c r="A63" t="s">
        <v>142</v>
      </c>
      <c r="B63" t="s">
        <v>143</v>
      </c>
      <c r="C63">
        <v>19</v>
      </c>
      <c r="D63" t="s">
        <v>18</v>
      </c>
      <c r="E63" t="s">
        <v>23</v>
      </c>
      <c r="F63" t="s">
        <v>60</v>
      </c>
      <c r="G63" s="1">
        <v>45980</v>
      </c>
      <c r="H63" s="1">
        <v>45994</v>
      </c>
      <c r="I63" s="1" t="str">
        <f>TEXT(Table1[[#This Row],[Admission Date]],"MMMM")</f>
        <v>November</v>
      </c>
      <c r="J63">
        <v>14</v>
      </c>
      <c r="K63">
        <v>154966</v>
      </c>
    </row>
    <row r="64" spans="1:11" x14ac:dyDescent="0.3">
      <c r="A64" t="s">
        <v>144</v>
      </c>
      <c r="B64" t="s">
        <v>145</v>
      </c>
      <c r="C64">
        <v>49</v>
      </c>
      <c r="D64" t="s">
        <v>13</v>
      </c>
      <c r="E64" t="s">
        <v>19</v>
      </c>
      <c r="F64" t="s">
        <v>24</v>
      </c>
      <c r="G64" s="1">
        <v>45695</v>
      </c>
      <c r="H64" s="1">
        <v>45698</v>
      </c>
      <c r="I64" s="1" t="str">
        <f>TEXT(Table1[[#This Row],[Admission Date]],"MMMM")</f>
        <v>February</v>
      </c>
      <c r="J64">
        <v>3</v>
      </c>
      <c r="K64">
        <v>35943</v>
      </c>
    </row>
    <row r="65" spans="1:11" x14ac:dyDescent="0.3">
      <c r="A65" t="s">
        <v>146</v>
      </c>
      <c r="B65" t="s">
        <v>147</v>
      </c>
      <c r="C65">
        <v>39</v>
      </c>
      <c r="D65" t="s">
        <v>18</v>
      </c>
      <c r="E65" t="s">
        <v>27</v>
      </c>
      <c r="F65" t="s">
        <v>63</v>
      </c>
      <c r="G65" s="1">
        <v>45690</v>
      </c>
      <c r="H65" s="1">
        <v>45699</v>
      </c>
      <c r="I65" s="1" t="str">
        <f>TEXT(Table1[[#This Row],[Admission Date]],"MMMM")</f>
        <v>February</v>
      </c>
      <c r="J65">
        <v>9</v>
      </c>
      <c r="K65">
        <v>43083</v>
      </c>
    </row>
    <row r="66" spans="1:11" x14ac:dyDescent="0.3">
      <c r="A66" t="s">
        <v>148</v>
      </c>
      <c r="B66" t="s">
        <v>149</v>
      </c>
      <c r="C66">
        <v>89</v>
      </c>
      <c r="D66" t="s">
        <v>13</v>
      </c>
      <c r="E66" t="s">
        <v>103</v>
      </c>
      <c r="F66" t="s">
        <v>28</v>
      </c>
      <c r="G66" s="1">
        <v>45891</v>
      </c>
      <c r="H66" s="1">
        <v>45896</v>
      </c>
      <c r="I66" s="1" t="str">
        <f>TEXT(Table1[[#This Row],[Admission Date]],"MMMM")</f>
        <v>August</v>
      </c>
      <c r="J66">
        <v>5</v>
      </c>
      <c r="K66">
        <v>47870</v>
      </c>
    </row>
    <row r="67" spans="1:11" x14ac:dyDescent="0.3">
      <c r="A67" t="s">
        <v>150</v>
      </c>
      <c r="B67" t="s">
        <v>135</v>
      </c>
      <c r="C67">
        <v>66</v>
      </c>
      <c r="D67" t="s">
        <v>13</v>
      </c>
      <c r="E67" t="s">
        <v>31</v>
      </c>
      <c r="F67" t="s">
        <v>20</v>
      </c>
      <c r="G67" s="1">
        <v>45664</v>
      </c>
      <c r="H67" s="1">
        <v>45666</v>
      </c>
      <c r="I67" s="1" t="str">
        <f>TEXT(Table1[[#This Row],[Admission Date]],"MMMM")</f>
        <v>January</v>
      </c>
      <c r="J67">
        <v>2</v>
      </c>
      <c r="K67">
        <v>19432</v>
      </c>
    </row>
    <row r="68" spans="1:11" x14ac:dyDescent="0.3">
      <c r="A68" t="s">
        <v>151</v>
      </c>
      <c r="B68" t="s">
        <v>152</v>
      </c>
      <c r="C68">
        <v>62</v>
      </c>
      <c r="D68" t="s">
        <v>18</v>
      </c>
      <c r="E68" t="s">
        <v>49</v>
      </c>
      <c r="F68" t="s">
        <v>20</v>
      </c>
      <c r="G68" s="1">
        <v>45863</v>
      </c>
      <c r="H68" s="1">
        <v>45868</v>
      </c>
      <c r="I68" s="1" t="str">
        <f>TEXT(Table1[[#This Row],[Admission Date]],"MMMM")</f>
        <v>July</v>
      </c>
      <c r="J68">
        <v>5</v>
      </c>
      <c r="K68">
        <v>44215</v>
      </c>
    </row>
    <row r="69" spans="1:11" x14ac:dyDescent="0.3">
      <c r="A69" t="s">
        <v>153</v>
      </c>
      <c r="B69" t="s">
        <v>53</v>
      </c>
      <c r="C69">
        <v>18</v>
      </c>
      <c r="D69" t="s">
        <v>13</v>
      </c>
      <c r="E69" t="s">
        <v>34</v>
      </c>
      <c r="F69" t="s">
        <v>24</v>
      </c>
      <c r="G69" s="1">
        <v>45936</v>
      </c>
      <c r="H69" s="1">
        <v>45938</v>
      </c>
      <c r="I69" s="1" t="str">
        <f>TEXT(Table1[[#This Row],[Admission Date]],"MMMM")</f>
        <v>October</v>
      </c>
      <c r="J69">
        <v>2</v>
      </c>
      <c r="K69">
        <v>16430</v>
      </c>
    </row>
    <row r="70" spans="1:11" x14ac:dyDescent="0.3">
      <c r="A70" t="s">
        <v>154</v>
      </c>
      <c r="B70" t="s">
        <v>155</v>
      </c>
      <c r="C70">
        <v>23</v>
      </c>
      <c r="D70" t="s">
        <v>13</v>
      </c>
      <c r="E70" t="s">
        <v>49</v>
      </c>
      <c r="F70" t="s">
        <v>60</v>
      </c>
      <c r="G70" s="1">
        <v>45868</v>
      </c>
      <c r="H70" s="1">
        <v>45879</v>
      </c>
      <c r="I70" s="1" t="str">
        <f>TEXT(Table1[[#This Row],[Admission Date]],"MMMM")</f>
        <v>July</v>
      </c>
      <c r="J70">
        <v>11</v>
      </c>
      <c r="K70">
        <v>85393</v>
      </c>
    </row>
    <row r="71" spans="1:11" x14ac:dyDescent="0.3">
      <c r="A71" t="s">
        <v>156</v>
      </c>
      <c r="B71" t="s">
        <v>157</v>
      </c>
      <c r="C71">
        <v>20</v>
      </c>
      <c r="D71" t="s">
        <v>18</v>
      </c>
      <c r="E71" t="s">
        <v>40</v>
      </c>
      <c r="F71" t="s">
        <v>24</v>
      </c>
      <c r="G71" s="1">
        <v>46005</v>
      </c>
      <c r="H71" s="1">
        <v>46012</v>
      </c>
      <c r="I71" s="1" t="str">
        <f>TEXT(Table1[[#This Row],[Admission Date]],"MMMM")</f>
        <v>December</v>
      </c>
      <c r="J71">
        <v>7</v>
      </c>
      <c r="K71">
        <v>50498</v>
      </c>
    </row>
    <row r="72" spans="1:11" x14ac:dyDescent="0.3">
      <c r="A72" t="s">
        <v>158</v>
      </c>
      <c r="B72" t="s">
        <v>159</v>
      </c>
      <c r="C72">
        <v>48</v>
      </c>
      <c r="D72" t="s">
        <v>13</v>
      </c>
      <c r="E72" t="s">
        <v>46</v>
      </c>
      <c r="F72" t="s">
        <v>15</v>
      </c>
      <c r="G72" s="1">
        <v>45680</v>
      </c>
      <c r="H72" s="1">
        <v>45695</v>
      </c>
      <c r="I72" s="1" t="str">
        <f>TEXT(Table1[[#This Row],[Admission Date]],"MMMM")</f>
        <v>January</v>
      </c>
      <c r="J72">
        <v>15</v>
      </c>
      <c r="K72">
        <v>74100</v>
      </c>
    </row>
    <row r="73" spans="1:11" x14ac:dyDescent="0.3">
      <c r="A73" t="s">
        <v>160</v>
      </c>
      <c r="B73" t="s">
        <v>161</v>
      </c>
      <c r="C73">
        <v>47</v>
      </c>
      <c r="D73" t="s">
        <v>18</v>
      </c>
      <c r="E73" t="s">
        <v>49</v>
      </c>
      <c r="F73" t="s">
        <v>35</v>
      </c>
      <c r="G73" s="1">
        <v>45832</v>
      </c>
      <c r="H73" s="1">
        <v>45847</v>
      </c>
      <c r="I73" s="1" t="str">
        <f>TEXT(Table1[[#This Row],[Admission Date]],"MMMM")</f>
        <v>June</v>
      </c>
      <c r="J73">
        <v>15</v>
      </c>
      <c r="K73">
        <v>163695</v>
      </c>
    </row>
    <row r="74" spans="1:11" x14ac:dyDescent="0.3">
      <c r="A74" t="s">
        <v>162</v>
      </c>
      <c r="B74" t="s">
        <v>163</v>
      </c>
      <c r="C74">
        <v>80</v>
      </c>
      <c r="D74" t="s">
        <v>18</v>
      </c>
      <c r="E74" t="s">
        <v>31</v>
      </c>
      <c r="F74" t="s">
        <v>35</v>
      </c>
      <c r="G74" s="1">
        <v>45917</v>
      </c>
      <c r="H74" s="1">
        <v>45924</v>
      </c>
      <c r="I74" s="1" t="str">
        <f>TEXT(Table1[[#This Row],[Admission Date]],"MMMM")</f>
        <v>September</v>
      </c>
      <c r="J74">
        <v>7</v>
      </c>
      <c r="K74">
        <v>49623</v>
      </c>
    </row>
    <row r="75" spans="1:11" x14ac:dyDescent="0.3">
      <c r="A75" t="s">
        <v>164</v>
      </c>
      <c r="B75" t="s">
        <v>165</v>
      </c>
      <c r="C75">
        <v>81</v>
      </c>
      <c r="D75" t="s">
        <v>18</v>
      </c>
      <c r="E75" t="s">
        <v>34</v>
      </c>
      <c r="F75" t="s">
        <v>20</v>
      </c>
      <c r="G75" s="1">
        <v>45697</v>
      </c>
      <c r="H75" s="1">
        <v>45710</v>
      </c>
      <c r="I75" s="1" t="str">
        <f>TEXT(Table1[[#This Row],[Admission Date]],"MMMM")</f>
        <v>February</v>
      </c>
      <c r="J75">
        <v>13</v>
      </c>
      <c r="K75">
        <v>129142</v>
      </c>
    </row>
    <row r="76" spans="1:11" x14ac:dyDescent="0.3">
      <c r="A76" t="s">
        <v>166</v>
      </c>
      <c r="B76" t="s">
        <v>115</v>
      </c>
      <c r="C76">
        <v>76</v>
      </c>
      <c r="D76" t="s">
        <v>13</v>
      </c>
      <c r="E76" t="s">
        <v>14</v>
      </c>
      <c r="F76" t="s">
        <v>35</v>
      </c>
      <c r="G76" s="1">
        <v>45906</v>
      </c>
      <c r="H76" s="1">
        <v>45912</v>
      </c>
      <c r="I76" s="1" t="str">
        <f>TEXT(Table1[[#This Row],[Admission Date]],"MMMM")</f>
        <v>September</v>
      </c>
      <c r="J76">
        <v>6</v>
      </c>
      <c r="K76">
        <v>55662</v>
      </c>
    </row>
    <row r="77" spans="1:11" x14ac:dyDescent="0.3">
      <c r="A77" t="s">
        <v>167</v>
      </c>
      <c r="B77" t="s">
        <v>133</v>
      </c>
      <c r="C77">
        <v>63</v>
      </c>
      <c r="D77" t="s">
        <v>13</v>
      </c>
      <c r="E77" t="s">
        <v>49</v>
      </c>
      <c r="F77" t="s">
        <v>28</v>
      </c>
      <c r="G77" s="1">
        <v>45881</v>
      </c>
      <c r="H77" s="1">
        <v>45883</v>
      </c>
      <c r="I77" s="1" t="str">
        <f>TEXT(Table1[[#This Row],[Admission Date]],"MMMM")</f>
        <v>August</v>
      </c>
      <c r="J77">
        <v>2</v>
      </c>
      <c r="K77">
        <v>10664</v>
      </c>
    </row>
    <row r="78" spans="1:11" x14ac:dyDescent="0.3">
      <c r="A78" t="s">
        <v>168</v>
      </c>
      <c r="B78" t="s">
        <v>169</v>
      </c>
      <c r="C78">
        <v>68</v>
      </c>
      <c r="D78" t="s">
        <v>13</v>
      </c>
      <c r="E78" t="s">
        <v>40</v>
      </c>
      <c r="F78" t="s">
        <v>35</v>
      </c>
      <c r="G78" s="1">
        <v>45673</v>
      </c>
      <c r="H78" s="1">
        <v>45686</v>
      </c>
      <c r="I78" s="1" t="str">
        <f>TEXT(Table1[[#This Row],[Admission Date]],"MMMM")</f>
        <v>January</v>
      </c>
      <c r="J78">
        <v>13</v>
      </c>
      <c r="K78">
        <v>75504</v>
      </c>
    </row>
    <row r="79" spans="1:11" x14ac:dyDescent="0.3">
      <c r="A79" t="s">
        <v>170</v>
      </c>
      <c r="B79" t="s">
        <v>99</v>
      </c>
      <c r="C79">
        <v>78</v>
      </c>
      <c r="D79" t="s">
        <v>13</v>
      </c>
      <c r="E79" t="s">
        <v>40</v>
      </c>
      <c r="F79" t="s">
        <v>60</v>
      </c>
      <c r="G79" s="1">
        <v>45714</v>
      </c>
      <c r="H79" s="1">
        <v>45729</v>
      </c>
      <c r="I79" s="1" t="str">
        <f>TEXT(Table1[[#This Row],[Admission Date]],"MMMM")</f>
        <v>February</v>
      </c>
      <c r="J79">
        <v>15</v>
      </c>
      <c r="K79">
        <v>148350</v>
      </c>
    </row>
    <row r="80" spans="1:11" x14ac:dyDescent="0.3">
      <c r="A80" t="s">
        <v>171</v>
      </c>
      <c r="B80" t="s">
        <v>172</v>
      </c>
      <c r="C80">
        <v>13</v>
      </c>
      <c r="D80" t="s">
        <v>13</v>
      </c>
      <c r="E80" t="s">
        <v>46</v>
      </c>
      <c r="F80" t="s">
        <v>28</v>
      </c>
      <c r="G80" s="1">
        <v>45865</v>
      </c>
      <c r="H80" s="1">
        <v>45867</v>
      </c>
      <c r="I80" s="1" t="str">
        <f>TEXT(Table1[[#This Row],[Admission Date]],"MMMM")</f>
        <v>July</v>
      </c>
      <c r="J80">
        <v>2</v>
      </c>
      <c r="K80">
        <v>21730</v>
      </c>
    </row>
    <row r="81" spans="1:11" x14ac:dyDescent="0.3">
      <c r="A81" t="s">
        <v>173</v>
      </c>
      <c r="B81" t="s">
        <v>33</v>
      </c>
      <c r="C81">
        <v>56</v>
      </c>
      <c r="D81" t="s">
        <v>13</v>
      </c>
      <c r="E81" t="s">
        <v>49</v>
      </c>
      <c r="F81" t="s">
        <v>43</v>
      </c>
      <c r="G81" s="1">
        <v>45943</v>
      </c>
      <c r="H81" s="1">
        <v>45946</v>
      </c>
      <c r="I81" s="1" t="str">
        <f>TEXT(Table1[[#This Row],[Admission Date]],"MMMM")</f>
        <v>October</v>
      </c>
      <c r="J81">
        <v>3</v>
      </c>
      <c r="K81">
        <v>17433</v>
      </c>
    </row>
    <row r="82" spans="1:11" x14ac:dyDescent="0.3">
      <c r="A82" t="s">
        <v>174</v>
      </c>
      <c r="B82" t="s">
        <v>87</v>
      </c>
      <c r="C82">
        <v>50</v>
      </c>
      <c r="D82" t="s">
        <v>13</v>
      </c>
      <c r="E82" t="s">
        <v>46</v>
      </c>
      <c r="F82" t="s">
        <v>20</v>
      </c>
      <c r="G82" s="1">
        <v>45936</v>
      </c>
      <c r="H82" s="1">
        <v>45948</v>
      </c>
      <c r="I82" s="1" t="str">
        <f>TEXT(Table1[[#This Row],[Admission Date]],"MMMM")</f>
        <v>October</v>
      </c>
      <c r="J82">
        <v>12</v>
      </c>
      <c r="K82">
        <v>138456</v>
      </c>
    </row>
    <row r="83" spans="1:11" x14ac:dyDescent="0.3">
      <c r="A83" t="s">
        <v>175</v>
      </c>
      <c r="B83" t="s">
        <v>108</v>
      </c>
      <c r="C83">
        <v>90</v>
      </c>
      <c r="D83" t="s">
        <v>13</v>
      </c>
      <c r="E83" t="s">
        <v>19</v>
      </c>
      <c r="F83" t="s">
        <v>28</v>
      </c>
      <c r="G83" s="1">
        <v>45983</v>
      </c>
      <c r="H83" s="1">
        <v>45985</v>
      </c>
      <c r="I83" s="1" t="str">
        <f>TEXT(Table1[[#This Row],[Admission Date]],"MMMM")</f>
        <v>November</v>
      </c>
      <c r="J83">
        <v>2</v>
      </c>
      <c r="K83">
        <v>21558</v>
      </c>
    </row>
    <row r="84" spans="1:11" x14ac:dyDescent="0.3">
      <c r="A84" t="s">
        <v>176</v>
      </c>
      <c r="B84" t="s">
        <v>177</v>
      </c>
      <c r="C84">
        <v>32</v>
      </c>
      <c r="D84" t="s">
        <v>18</v>
      </c>
      <c r="E84" t="s">
        <v>103</v>
      </c>
      <c r="F84" t="s">
        <v>35</v>
      </c>
      <c r="G84" s="1">
        <v>45907</v>
      </c>
      <c r="H84" s="1">
        <v>45922</v>
      </c>
      <c r="I84" s="1" t="str">
        <f>TEXT(Table1[[#This Row],[Admission Date]],"MMMM")</f>
        <v>September</v>
      </c>
      <c r="J84">
        <v>15</v>
      </c>
      <c r="K84">
        <v>69480</v>
      </c>
    </row>
    <row r="85" spans="1:11" x14ac:dyDescent="0.3">
      <c r="A85" t="s">
        <v>178</v>
      </c>
      <c r="B85" t="s">
        <v>179</v>
      </c>
      <c r="C85">
        <v>31</v>
      </c>
      <c r="D85" t="s">
        <v>13</v>
      </c>
      <c r="E85" t="s">
        <v>23</v>
      </c>
      <c r="F85" t="s">
        <v>43</v>
      </c>
      <c r="G85" s="1">
        <v>45896</v>
      </c>
      <c r="H85" s="1">
        <v>45900</v>
      </c>
      <c r="I85" s="1" t="str">
        <f>TEXT(Table1[[#This Row],[Admission Date]],"MMMM")</f>
        <v>August</v>
      </c>
      <c r="J85">
        <v>4</v>
      </c>
      <c r="K85">
        <v>30972</v>
      </c>
    </row>
    <row r="86" spans="1:11" x14ac:dyDescent="0.3">
      <c r="A86" t="s">
        <v>180</v>
      </c>
      <c r="B86" t="s">
        <v>128</v>
      </c>
      <c r="C86">
        <v>40</v>
      </c>
      <c r="D86" t="s">
        <v>18</v>
      </c>
      <c r="E86" t="s">
        <v>27</v>
      </c>
      <c r="F86" t="s">
        <v>15</v>
      </c>
      <c r="G86" s="1">
        <v>45817</v>
      </c>
      <c r="H86" s="1">
        <v>45825</v>
      </c>
      <c r="I86" s="1" t="str">
        <f>TEXT(Table1[[#This Row],[Admission Date]],"MMMM")</f>
        <v>June</v>
      </c>
      <c r="J86">
        <v>8</v>
      </c>
      <c r="K86">
        <v>47360</v>
      </c>
    </row>
    <row r="87" spans="1:11" x14ac:dyDescent="0.3">
      <c r="A87" t="s">
        <v>181</v>
      </c>
      <c r="B87" t="s">
        <v>182</v>
      </c>
      <c r="C87">
        <v>46</v>
      </c>
      <c r="D87" t="s">
        <v>13</v>
      </c>
      <c r="E87" t="s">
        <v>34</v>
      </c>
      <c r="F87" t="s">
        <v>15</v>
      </c>
      <c r="G87" s="1">
        <v>45973</v>
      </c>
      <c r="H87" s="1">
        <v>45975</v>
      </c>
      <c r="I87" s="1" t="str">
        <f>TEXT(Table1[[#This Row],[Admission Date]],"MMMM")</f>
        <v>November</v>
      </c>
      <c r="J87">
        <v>2</v>
      </c>
      <c r="K87">
        <v>14318</v>
      </c>
    </row>
    <row r="88" spans="1:11" x14ac:dyDescent="0.3">
      <c r="A88" t="s">
        <v>183</v>
      </c>
      <c r="B88" t="s">
        <v>108</v>
      </c>
      <c r="C88">
        <v>38</v>
      </c>
      <c r="D88" t="s">
        <v>18</v>
      </c>
      <c r="E88" t="s">
        <v>34</v>
      </c>
      <c r="F88" t="s">
        <v>43</v>
      </c>
      <c r="G88" s="1">
        <v>45855</v>
      </c>
      <c r="H88" s="1">
        <v>45866</v>
      </c>
      <c r="I88" s="1" t="str">
        <f>TEXT(Table1[[#This Row],[Admission Date]],"MMMM")</f>
        <v>July</v>
      </c>
      <c r="J88">
        <v>11</v>
      </c>
      <c r="K88">
        <v>45276</v>
      </c>
    </row>
    <row r="89" spans="1:11" x14ac:dyDescent="0.3">
      <c r="A89" t="s">
        <v>184</v>
      </c>
      <c r="B89" t="s">
        <v>169</v>
      </c>
      <c r="C89">
        <v>53</v>
      </c>
      <c r="D89" t="s">
        <v>18</v>
      </c>
      <c r="E89" t="s">
        <v>23</v>
      </c>
      <c r="F89" t="s">
        <v>63</v>
      </c>
      <c r="G89" s="1">
        <v>46012</v>
      </c>
      <c r="H89" s="1">
        <v>46025</v>
      </c>
      <c r="I89" s="1" t="str">
        <f>TEXT(Table1[[#This Row],[Admission Date]],"MMMM")</f>
        <v>December</v>
      </c>
      <c r="J89">
        <v>13</v>
      </c>
      <c r="K89">
        <v>57122</v>
      </c>
    </row>
    <row r="90" spans="1:11" x14ac:dyDescent="0.3">
      <c r="A90" t="s">
        <v>185</v>
      </c>
      <c r="B90" t="s">
        <v>186</v>
      </c>
      <c r="C90">
        <v>57</v>
      </c>
      <c r="D90" t="s">
        <v>18</v>
      </c>
      <c r="E90" t="s">
        <v>49</v>
      </c>
      <c r="F90" t="s">
        <v>20</v>
      </c>
      <c r="G90" s="1">
        <v>45951</v>
      </c>
      <c r="H90" s="1">
        <v>45961</v>
      </c>
      <c r="I90" s="1" t="str">
        <f>TEXT(Table1[[#This Row],[Admission Date]],"MMMM")</f>
        <v>October</v>
      </c>
      <c r="J90">
        <v>10</v>
      </c>
      <c r="K90">
        <v>70500</v>
      </c>
    </row>
    <row r="91" spans="1:11" x14ac:dyDescent="0.3">
      <c r="A91" t="s">
        <v>187</v>
      </c>
      <c r="B91" t="s">
        <v>188</v>
      </c>
      <c r="C91">
        <v>74</v>
      </c>
      <c r="D91" t="s">
        <v>13</v>
      </c>
      <c r="E91" t="s">
        <v>27</v>
      </c>
      <c r="F91" t="s">
        <v>24</v>
      </c>
      <c r="G91" s="1">
        <v>45716</v>
      </c>
      <c r="H91" s="1">
        <v>45727</v>
      </c>
      <c r="I91" s="1" t="str">
        <f>TEXT(Table1[[#This Row],[Admission Date]],"MMMM")</f>
        <v>February</v>
      </c>
      <c r="J91">
        <v>11</v>
      </c>
      <c r="K91">
        <v>128304</v>
      </c>
    </row>
    <row r="92" spans="1:11" x14ac:dyDescent="0.3">
      <c r="A92" t="s">
        <v>189</v>
      </c>
      <c r="B92" t="s">
        <v>190</v>
      </c>
      <c r="C92">
        <v>60</v>
      </c>
      <c r="D92" t="s">
        <v>18</v>
      </c>
      <c r="E92" t="s">
        <v>46</v>
      </c>
      <c r="F92" t="s">
        <v>24</v>
      </c>
      <c r="G92" s="1">
        <v>45976</v>
      </c>
      <c r="H92" s="1">
        <v>45989</v>
      </c>
      <c r="I92" s="1" t="str">
        <f>TEXT(Table1[[#This Row],[Admission Date]],"MMMM")</f>
        <v>November</v>
      </c>
      <c r="J92">
        <v>13</v>
      </c>
      <c r="K92">
        <v>113828</v>
      </c>
    </row>
    <row r="93" spans="1:11" x14ac:dyDescent="0.3">
      <c r="A93" t="s">
        <v>191</v>
      </c>
      <c r="B93" t="s">
        <v>192</v>
      </c>
      <c r="C93">
        <v>44</v>
      </c>
      <c r="D93" t="s">
        <v>18</v>
      </c>
      <c r="E93" t="s">
        <v>34</v>
      </c>
      <c r="F93" t="s">
        <v>60</v>
      </c>
      <c r="G93" s="1">
        <v>45771</v>
      </c>
      <c r="H93" s="1">
        <v>45781</v>
      </c>
      <c r="I93" s="1" t="str">
        <f>TEXT(Table1[[#This Row],[Admission Date]],"MMMM")</f>
        <v>April</v>
      </c>
      <c r="J93">
        <v>10</v>
      </c>
      <c r="K93">
        <v>93830</v>
      </c>
    </row>
    <row r="94" spans="1:11" x14ac:dyDescent="0.3">
      <c r="A94" t="s">
        <v>193</v>
      </c>
      <c r="B94" t="s">
        <v>190</v>
      </c>
      <c r="C94">
        <v>68</v>
      </c>
      <c r="D94" t="s">
        <v>18</v>
      </c>
      <c r="E94" t="s">
        <v>23</v>
      </c>
      <c r="F94" t="s">
        <v>63</v>
      </c>
      <c r="G94" s="1">
        <v>45740</v>
      </c>
      <c r="H94" s="1">
        <v>45744</v>
      </c>
      <c r="I94" s="1" t="str">
        <f>TEXT(Table1[[#This Row],[Admission Date]],"MMMM")</f>
        <v>March</v>
      </c>
      <c r="J94">
        <v>4</v>
      </c>
      <c r="K94">
        <v>44476</v>
      </c>
    </row>
    <row r="95" spans="1:11" x14ac:dyDescent="0.3">
      <c r="A95" t="s">
        <v>194</v>
      </c>
      <c r="B95" t="s">
        <v>108</v>
      </c>
      <c r="C95">
        <v>73</v>
      </c>
      <c r="D95" t="s">
        <v>18</v>
      </c>
      <c r="E95" t="s">
        <v>34</v>
      </c>
      <c r="F95" t="s">
        <v>15</v>
      </c>
      <c r="G95" s="1">
        <v>45840</v>
      </c>
      <c r="H95" s="1">
        <v>45850</v>
      </c>
      <c r="I95" s="1" t="str">
        <f>TEXT(Table1[[#This Row],[Admission Date]],"MMMM")</f>
        <v>July</v>
      </c>
      <c r="J95">
        <v>10</v>
      </c>
      <c r="K95">
        <v>106910</v>
      </c>
    </row>
    <row r="96" spans="1:11" x14ac:dyDescent="0.3">
      <c r="A96" t="s">
        <v>195</v>
      </c>
      <c r="B96" t="s">
        <v>67</v>
      </c>
      <c r="C96">
        <v>72</v>
      </c>
      <c r="D96" t="s">
        <v>13</v>
      </c>
      <c r="E96" t="s">
        <v>103</v>
      </c>
      <c r="F96" t="s">
        <v>24</v>
      </c>
      <c r="G96" s="1">
        <v>45998</v>
      </c>
      <c r="H96" s="1">
        <v>46003</v>
      </c>
      <c r="I96" s="1" t="str">
        <f>TEXT(Table1[[#This Row],[Admission Date]],"MMMM")</f>
        <v>December</v>
      </c>
      <c r="J96">
        <v>5</v>
      </c>
      <c r="K96">
        <v>53485</v>
      </c>
    </row>
    <row r="97" spans="1:11" x14ac:dyDescent="0.3">
      <c r="A97" t="s">
        <v>196</v>
      </c>
      <c r="B97" t="s">
        <v>197</v>
      </c>
      <c r="C97">
        <v>70</v>
      </c>
      <c r="D97" t="s">
        <v>13</v>
      </c>
      <c r="E97" t="s">
        <v>31</v>
      </c>
      <c r="F97" t="s">
        <v>28</v>
      </c>
      <c r="G97" s="1">
        <v>45809</v>
      </c>
      <c r="H97" s="1">
        <v>45812</v>
      </c>
      <c r="I97" s="1" t="str">
        <f>TEXT(Table1[[#This Row],[Admission Date]],"MMMM")</f>
        <v>June</v>
      </c>
      <c r="J97">
        <v>3</v>
      </c>
      <c r="K97">
        <v>33045</v>
      </c>
    </row>
    <row r="98" spans="1:11" x14ac:dyDescent="0.3">
      <c r="A98" t="s">
        <v>198</v>
      </c>
      <c r="B98" t="s">
        <v>152</v>
      </c>
      <c r="C98">
        <v>70</v>
      </c>
      <c r="D98" t="s">
        <v>13</v>
      </c>
      <c r="E98" t="s">
        <v>27</v>
      </c>
      <c r="F98" t="s">
        <v>20</v>
      </c>
      <c r="G98" s="1">
        <v>45775</v>
      </c>
      <c r="H98" s="1">
        <v>45783</v>
      </c>
      <c r="I98" s="1" t="str">
        <f>TEXT(Table1[[#This Row],[Admission Date]],"MMMM")</f>
        <v>April</v>
      </c>
      <c r="J98">
        <v>8</v>
      </c>
      <c r="K98">
        <v>46896</v>
      </c>
    </row>
    <row r="99" spans="1:11" x14ac:dyDescent="0.3">
      <c r="A99" t="s">
        <v>199</v>
      </c>
      <c r="B99" t="s">
        <v>200</v>
      </c>
      <c r="C99">
        <v>64</v>
      </c>
      <c r="D99" t="s">
        <v>18</v>
      </c>
      <c r="E99" t="s">
        <v>40</v>
      </c>
      <c r="F99" t="s">
        <v>28</v>
      </c>
      <c r="G99" s="1">
        <v>45817</v>
      </c>
      <c r="H99" s="1">
        <v>45831</v>
      </c>
      <c r="I99" s="1" t="str">
        <f>TEXT(Table1[[#This Row],[Admission Date]],"MMMM")</f>
        <v>June</v>
      </c>
      <c r="J99">
        <v>14</v>
      </c>
      <c r="K99">
        <v>93520</v>
      </c>
    </row>
    <row r="100" spans="1:11" x14ac:dyDescent="0.3">
      <c r="A100" t="s">
        <v>201</v>
      </c>
      <c r="B100" t="s">
        <v>202</v>
      </c>
      <c r="C100">
        <v>82</v>
      </c>
      <c r="D100" t="s">
        <v>13</v>
      </c>
      <c r="E100" t="s">
        <v>23</v>
      </c>
      <c r="F100" t="s">
        <v>63</v>
      </c>
      <c r="G100" s="1">
        <v>45873</v>
      </c>
      <c r="H100" s="1">
        <v>45879</v>
      </c>
      <c r="I100" s="1" t="str">
        <f>TEXT(Table1[[#This Row],[Admission Date]],"MMMM")</f>
        <v>August</v>
      </c>
      <c r="J100">
        <v>6</v>
      </c>
      <c r="K100">
        <v>49950</v>
      </c>
    </row>
    <row r="101" spans="1:11" x14ac:dyDescent="0.3">
      <c r="A101" t="s">
        <v>203</v>
      </c>
      <c r="B101" t="s">
        <v>204</v>
      </c>
      <c r="C101">
        <v>72</v>
      </c>
      <c r="D101" t="s">
        <v>13</v>
      </c>
      <c r="E101" t="s">
        <v>49</v>
      </c>
      <c r="F101" t="s">
        <v>60</v>
      </c>
      <c r="G101" s="1">
        <v>45992</v>
      </c>
      <c r="H101" s="1">
        <v>46004</v>
      </c>
      <c r="I101" s="1" t="str">
        <f>TEXT(Table1[[#This Row],[Admission Date]],"MMMM")</f>
        <v>December</v>
      </c>
      <c r="J101">
        <v>12</v>
      </c>
      <c r="K101">
        <v>128004</v>
      </c>
    </row>
    <row r="102" spans="1:11" x14ac:dyDescent="0.3">
      <c r="A102" t="s">
        <v>205</v>
      </c>
      <c r="B102" t="s">
        <v>67</v>
      </c>
      <c r="C102">
        <v>21</v>
      </c>
      <c r="D102" t="s">
        <v>18</v>
      </c>
      <c r="E102" t="s">
        <v>40</v>
      </c>
      <c r="F102" t="s">
        <v>20</v>
      </c>
      <c r="G102" s="1">
        <v>45913</v>
      </c>
      <c r="H102" s="1">
        <v>45915</v>
      </c>
      <c r="I102" s="1" t="str">
        <f>TEXT(Table1[[#This Row],[Admission Date]],"MMMM")</f>
        <v>September</v>
      </c>
      <c r="J102">
        <v>2</v>
      </c>
      <c r="K102">
        <v>11530</v>
      </c>
    </row>
    <row r="103" spans="1:11" x14ac:dyDescent="0.3">
      <c r="A103" t="s">
        <v>206</v>
      </c>
      <c r="B103" t="s">
        <v>182</v>
      </c>
      <c r="C103">
        <v>87</v>
      </c>
      <c r="D103" t="s">
        <v>13</v>
      </c>
      <c r="E103" t="s">
        <v>34</v>
      </c>
      <c r="F103" t="s">
        <v>24</v>
      </c>
      <c r="G103" s="1">
        <v>46007</v>
      </c>
      <c r="H103" s="1">
        <v>46017</v>
      </c>
      <c r="I103" s="1" t="str">
        <f>TEXT(Table1[[#This Row],[Admission Date]],"MMMM")</f>
        <v>December</v>
      </c>
      <c r="J103">
        <v>10</v>
      </c>
      <c r="K103">
        <v>63420</v>
      </c>
    </row>
    <row r="104" spans="1:11" x14ac:dyDescent="0.3">
      <c r="A104" t="s">
        <v>207</v>
      </c>
      <c r="B104" t="s">
        <v>208</v>
      </c>
      <c r="C104">
        <v>66</v>
      </c>
      <c r="D104" t="s">
        <v>13</v>
      </c>
      <c r="E104" t="s">
        <v>23</v>
      </c>
      <c r="F104" t="s">
        <v>24</v>
      </c>
      <c r="G104" s="1">
        <v>45838</v>
      </c>
      <c r="H104" s="1">
        <v>45850</v>
      </c>
      <c r="I104" s="1" t="str">
        <f>TEXT(Table1[[#This Row],[Admission Date]],"MMMM")</f>
        <v>June</v>
      </c>
      <c r="J104">
        <v>12</v>
      </c>
      <c r="K104">
        <v>83820</v>
      </c>
    </row>
    <row r="105" spans="1:11" x14ac:dyDescent="0.3">
      <c r="A105" t="s">
        <v>209</v>
      </c>
      <c r="B105" t="s">
        <v>210</v>
      </c>
      <c r="C105">
        <v>74</v>
      </c>
      <c r="D105" t="s">
        <v>18</v>
      </c>
      <c r="E105" t="s">
        <v>40</v>
      </c>
      <c r="F105" t="s">
        <v>35</v>
      </c>
      <c r="G105" s="1">
        <v>45819</v>
      </c>
      <c r="H105" s="1">
        <v>45834</v>
      </c>
      <c r="I105" s="1" t="str">
        <f>TEXT(Table1[[#This Row],[Admission Date]],"MMMM")</f>
        <v>June</v>
      </c>
      <c r="J105">
        <v>15</v>
      </c>
      <c r="K105">
        <v>168975</v>
      </c>
    </row>
    <row r="106" spans="1:11" x14ac:dyDescent="0.3">
      <c r="A106" t="s">
        <v>211</v>
      </c>
      <c r="B106" t="s">
        <v>212</v>
      </c>
      <c r="C106">
        <v>10</v>
      </c>
      <c r="D106" t="s">
        <v>18</v>
      </c>
      <c r="E106" t="s">
        <v>19</v>
      </c>
      <c r="F106" t="s">
        <v>15</v>
      </c>
      <c r="G106" s="1">
        <v>45937</v>
      </c>
      <c r="H106" s="1">
        <v>45939</v>
      </c>
      <c r="I106" s="1" t="str">
        <f>TEXT(Table1[[#This Row],[Admission Date]],"MMMM")</f>
        <v>October</v>
      </c>
      <c r="J106">
        <v>2</v>
      </c>
      <c r="K106">
        <v>18190</v>
      </c>
    </row>
    <row r="107" spans="1:11" x14ac:dyDescent="0.3">
      <c r="A107" t="s">
        <v>213</v>
      </c>
      <c r="B107" t="s">
        <v>124</v>
      </c>
      <c r="C107">
        <v>31</v>
      </c>
      <c r="D107" t="s">
        <v>13</v>
      </c>
      <c r="E107" t="s">
        <v>23</v>
      </c>
      <c r="F107" t="s">
        <v>28</v>
      </c>
      <c r="G107" s="1">
        <v>45939</v>
      </c>
      <c r="H107" s="1">
        <v>45945</v>
      </c>
      <c r="I107" s="1" t="str">
        <f>TEXT(Table1[[#This Row],[Admission Date]],"MMMM")</f>
        <v>October</v>
      </c>
      <c r="J107">
        <v>6</v>
      </c>
      <c r="K107">
        <v>53124</v>
      </c>
    </row>
    <row r="108" spans="1:11" x14ac:dyDescent="0.3">
      <c r="A108" t="s">
        <v>214</v>
      </c>
      <c r="B108" t="s">
        <v>62</v>
      </c>
      <c r="C108">
        <v>23</v>
      </c>
      <c r="D108" t="s">
        <v>18</v>
      </c>
      <c r="E108" t="s">
        <v>40</v>
      </c>
      <c r="F108" t="s">
        <v>60</v>
      </c>
      <c r="G108" s="1">
        <v>45982</v>
      </c>
      <c r="H108" s="1">
        <v>45994</v>
      </c>
      <c r="I108" s="1" t="str">
        <f>TEXT(Table1[[#This Row],[Admission Date]],"MMMM")</f>
        <v>November</v>
      </c>
      <c r="J108">
        <v>12</v>
      </c>
      <c r="K108">
        <v>53556</v>
      </c>
    </row>
    <row r="109" spans="1:11" x14ac:dyDescent="0.3">
      <c r="A109" t="s">
        <v>215</v>
      </c>
      <c r="B109" t="s">
        <v>149</v>
      </c>
      <c r="C109">
        <v>86</v>
      </c>
      <c r="D109" t="s">
        <v>13</v>
      </c>
      <c r="E109" t="s">
        <v>103</v>
      </c>
      <c r="F109" t="s">
        <v>28</v>
      </c>
      <c r="G109" s="1">
        <v>46022</v>
      </c>
      <c r="H109" s="1">
        <v>46035</v>
      </c>
      <c r="I109" s="1" t="str">
        <f>TEXT(Table1[[#This Row],[Admission Date]],"MMMM")</f>
        <v>December</v>
      </c>
      <c r="J109">
        <v>13</v>
      </c>
      <c r="K109">
        <v>81822</v>
      </c>
    </row>
    <row r="110" spans="1:11" x14ac:dyDescent="0.3">
      <c r="A110" t="s">
        <v>216</v>
      </c>
      <c r="B110" t="s">
        <v>17</v>
      </c>
      <c r="C110">
        <v>85</v>
      </c>
      <c r="D110" t="s">
        <v>13</v>
      </c>
      <c r="E110" t="s">
        <v>19</v>
      </c>
      <c r="F110" t="s">
        <v>15</v>
      </c>
      <c r="G110" s="1">
        <v>45770</v>
      </c>
      <c r="H110" s="1">
        <v>45775</v>
      </c>
      <c r="I110" s="1" t="str">
        <f>TEXT(Table1[[#This Row],[Admission Date]],"MMMM")</f>
        <v>April</v>
      </c>
      <c r="J110">
        <v>5</v>
      </c>
      <c r="K110">
        <v>54860</v>
      </c>
    </row>
    <row r="111" spans="1:11" x14ac:dyDescent="0.3">
      <c r="A111" t="s">
        <v>217</v>
      </c>
      <c r="B111" t="s">
        <v>218</v>
      </c>
      <c r="C111">
        <v>1</v>
      </c>
      <c r="D111" t="s">
        <v>13</v>
      </c>
      <c r="E111" t="s">
        <v>103</v>
      </c>
      <c r="F111" t="s">
        <v>24</v>
      </c>
      <c r="G111" s="1">
        <v>45862</v>
      </c>
      <c r="H111" s="1">
        <v>45868</v>
      </c>
      <c r="I111" s="1" t="str">
        <f>TEXT(Table1[[#This Row],[Admission Date]],"MMMM")</f>
        <v>July</v>
      </c>
      <c r="J111">
        <v>6</v>
      </c>
      <c r="K111">
        <v>45756</v>
      </c>
    </row>
    <row r="112" spans="1:11" x14ac:dyDescent="0.3">
      <c r="A112" t="s">
        <v>219</v>
      </c>
      <c r="B112" t="s">
        <v>177</v>
      </c>
      <c r="C112">
        <v>33</v>
      </c>
      <c r="D112" t="s">
        <v>13</v>
      </c>
      <c r="E112" t="s">
        <v>40</v>
      </c>
      <c r="F112" t="s">
        <v>15</v>
      </c>
      <c r="G112" s="1">
        <v>45892</v>
      </c>
      <c r="H112" s="1">
        <v>45905</v>
      </c>
      <c r="I112" s="1" t="str">
        <f>TEXT(Table1[[#This Row],[Admission Date]],"MMMM")</f>
        <v>August</v>
      </c>
      <c r="J112">
        <v>13</v>
      </c>
      <c r="K112">
        <v>106197</v>
      </c>
    </row>
    <row r="113" spans="1:11" x14ac:dyDescent="0.3">
      <c r="A113" t="s">
        <v>220</v>
      </c>
      <c r="B113" t="s">
        <v>221</v>
      </c>
      <c r="C113">
        <v>4</v>
      </c>
      <c r="D113" t="s">
        <v>13</v>
      </c>
      <c r="E113" t="s">
        <v>31</v>
      </c>
      <c r="F113" t="s">
        <v>15</v>
      </c>
      <c r="G113" s="1">
        <v>45705</v>
      </c>
      <c r="H113" s="1">
        <v>45719</v>
      </c>
      <c r="I113" s="1" t="str">
        <f>TEXT(Table1[[#This Row],[Admission Date]],"MMMM")</f>
        <v>February</v>
      </c>
      <c r="J113">
        <v>14</v>
      </c>
      <c r="K113">
        <v>110628</v>
      </c>
    </row>
    <row r="114" spans="1:11" x14ac:dyDescent="0.3">
      <c r="A114" t="s">
        <v>222</v>
      </c>
      <c r="B114" t="s">
        <v>53</v>
      </c>
      <c r="C114">
        <v>65</v>
      </c>
      <c r="D114" t="s">
        <v>18</v>
      </c>
      <c r="E114" t="s">
        <v>31</v>
      </c>
      <c r="F114" t="s">
        <v>24</v>
      </c>
      <c r="G114" s="1">
        <v>45778</v>
      </c>
      <c r="H114" s="1">
        <v>45791</v>
      </c>
      <c r="I114" s="1" t="str">
        <f>TEXT(Table1[[#This Row],[Admission Date]],"MMMM")</f>
        <v>May</v>
      </c>
      <c r="J114">
        <v>13</v>
      </c>
      <c r="K114">
        <v>135564</v>
      </c>
    </row>
    <row r="115" spans="1:11" x14ac:dyDescent="0.3">
      <c r="A115" t="s">
        <v>223</v>
      </c>
      <c r="B115" t="s">
        <v>17</v>
      </c>
      <c r="C115">
        <v>14</v>
      </c>
      <c r="D115" t="s">
        <v>13</v>
      </c>
      <c r="E115" t="s">
        <v>14</v>
      </c>
      <c r="F115" t="s">
        <v>15</v>
      </c>
      <c r="G115" s="1">
        <v>45658</v>
      </c>
      <c r="H115" s="1">
        <v>45663</v>
      </c>
      <c r="I115" s="1" t="str">
        <f>TEXT(Table1[[#This Row],[Admission Date]],"MMMM")</f>
        <v>January</v>
      </c>
      <c r="J115">
        <v>5</v>
      </c>
      <c r="K115">
        <v>50035</v>
      </c>
    </row>
    <row r="116" spans="1:11" x14ac:dyDescent="0.3">
      <c r="A116" t="s">
        <v>224</v>
      </c>
      <c r="B116" t="s">
        <v>138</v>
      </c>
      <c r="C116">
        <v>51</v>
      </c>
      <c r="D116" t="s">
        <v>18</v>
      </c>
      <c r="E116" t="s">
        <v>14</v>
      </c>
      <c r="F116" t="s">
        <v>24</v>
      </c>
      <c r="G116" s="1">
        <v>45694</v>
      </c>
      <c r="H116" s="1">
        <v>45698</v>
      </c>
      <c r="I116" s="1" t="str">
        <f>TEXT(Table1[[#This Row],[Admission Date]],"MMMM")</f>
        <v>February</v>
      </c>
      <c r="J116">
        <v>4</v>
      </c>
      <c r="K116">
        <v>32492</v>
      </c>
    </row>
    <row r="117" spans="1:11" x14ac:dyDescent="0.3">
      <c r="A117" t="s">
        <v>225</v>
      </c>
      <c r="B117" t="s">
        <v>152</v>
      </c>
      <c r="C117">
        <v>50</v>
      </c>
      <c r="D117" t="s">
        <v>13</v>
      </c>
      <c r="E117" t="s">
        <v>49</v>
      </c>
      <c r="F117" t="s">
        <v>60</v>
      </c>
      <c r="G117" s="1">
        <v>45881</v>
      </c>
      <c r="H117" s="1">
        <v>45892</v>
      </c>
      <c r="I117" s="1" t="str">
        <f>TEXT(Table1[[#This Row],[Admission Date]],"MMMM")</f>
        <v>August</v>
      </c>
      <c r="J117">
        <v>11</v>
      </c>
      <c r="K117">
        <v>131472</v>
      </c>
    </row>
    <row r="118" spans="1:11" x14ac:dyDescent="0.3">
      <c r="A118" t="s">
        <v>226</v>
      </c>
      <c r="B118" t="s">
        <v>110</v>
      </c>
      <c r="C118">
        <v>29</v>
      </c>
      <c r="D118" t="s">
        <v>18</v>
      </c>
      <c r="E118" t="s">
        <v>46</v>
      </c>
      <c r="F118" t="s">
        <v>43</v>
      </c>
      <c r="G118" s="1">
        <v>45868</v>
      </c>
      <c r="H118" s="1">
        <v>45880</v>
      </c>
      <c r="I118" s="1" t="str">
        <f>TEXT(Table1[[#This Row],[Admission Date]],"MMMM")</f>
        <v>July</v>
      </c>
      <c r="J118">
        <v>12</v>
      </c>
      <c r="K118">
        <v>139032</v>
      </c>
    </row>
    <row r="119" spans="1:11" x14ac:dyDescent="0.3">
      <c r="A119" t="s">
        <v>227</v>
      </c>
      <c r="B119" t="s">
        <v>204</v>
      </c>
      <c r="C119">
        <v>48</v>
      </c>
      <c r="D119" t="s">
        <v>13</v>
      </c>
      <c r="E119" t="s">
        <v>19</v>
      </c>
      <c r="F119" t="s">
        <v>43</v>
      </c>
      <c r="G119" s="1">
        <v>45783</v>
      </c>
      <c r="H119" s="1">
        <v>45787</v>
      </c>
      <c r="I119" s="1" t="str">
        <f>TEXT(Table1[[#This Row],[Admission Date]],"MMMM")</f>
        <v>May</v>
      </c>
      <c r="J119">
        <v>4</v>
      </c>
      <c r="K119">
        <v>32432</v>
      </c>
    </row>
    <row r="120" spans="1:11" x14ac:dyDescent="0.3">
      <c r="A120" t="s">
        <v>228</v>
      </c>
      <c r="B120" t="s">
        <v>26</v>
      </c>
      <c r="C120">
        <v>60</v>
      </c>
      <c r="D120" t="s">
        <v>13</v>
      </c>
      <c r="E120" t="s">
        <v>23</v>
      </c>
      <c r="F120" t="s">
        <v>63</v>
      </c>
      <c r="G120" s="1">
        <v>45985</v>
      </c>
      <c r="H120" s="1">
        <v>46000</v>
      </c>
      <c r="I120" s="1" t="str">
        <f>TEXT(Table1[[#This Row],[Admission Date]],"MMMM")</f>
        <v>November</v>
      </c>
      <c r="J120">
        <v>15</v>
      </c>
      <c r="K120">
        <v>81915</v>
      </c>
    </row>
    <row r="121" spans="1:11" x14ac:dyDescent="0.3">
      <c r="A121" t="s">
        <v>229</v>
      </c>
      <c r="B121" t="s">
        <v>202</v>
      </c>
      <c r="C121">
        <v>49</v>
      </c>
      <c r="D121" t="s">
        <v>13</v>
      </c>
      <c r="E121" t="s">
        <v>19</v>
      </c>
      <c r="F121" t="s">
        <v>60</v>
      </c>
      <c r="G121" s="1">
        <v>46004</v>
      </c>
      <c r="H121" s="1">
        <v>46012</v>
      </c>
      <c r="I121" s="1" t="str">
        <f>TEXT(Table1[[#This Row],[Admission Date]],"MMMM")</f>
        <v>December</v>
      </c>
      <c r="J121">
        <v>8</v>
      </c>
      <c r="K121">
        <v>40744</v>
      </c>
    </row>
    <row r="122" spans="1:11" x14ac:dyDescent="0.3">
      <c r="A122" t="s">
        <v>230</v>
      </c>
      <c r="B122" t="s">
        <v>97</v>
      </c>
      <c r="C122">
        <v>29</v>
      </c>
      <c r="D122" t="s">
        <v>18</v>
      </c>
      <c r="E122" t="s">
        <v>31</v>
      </c>
      <c r="F122" t="s">
        <v>35</v>
      </c>
      <c r="G122" s="1">
        <v>45945</v>
      </c>
      <c r="H122" s="1">
        <v>45952</v>
      </c>
      <c r="I122" s="1" t="str">
        <f>TEXT(Table1[[#This Row],[Admission Date]],"MMMM")</f>
        <v>October</v>
      </c>
      <c r="J122">
        <v>7</v>
      </c>
      <c r="K122">
        <v>71659</v>
      </c>
    </row>
    <row r="123" spans="1:11" x14ac:dyDescent="0.3">
      <c r="A123" t="s">
        <v>231</v>
      </c>
      <c r="B123" t="s">
        <v>232</v>
      </c>
      <c r="C123">
        <v>61</v>
      </c>
      <c r="D123" t="s">
        <v>13</v>
      </c>
      <c r="E123" t="s">
        <v>34</v>
      </c>
      <c r="F123" t="s">
        <v>60</v>
      </c>
      <c r="G123" s="1">
        <v>45781</v>
      </c>
      <c r="H123" s="1">
        <v>45788</v>
      </c>
      <c r="I123" s="1" t="str">
        <f>TEXT(Table1[[#This Row],[Admission Date]],"MMMM")</f>
        <v>May</v>
      </c>
      <c r="J123">
        <v>7</v>
      </c>
      <c r="K123">
        <v>48468</v>
      </c>
    </row>
    <row r="124" spans="1:11" x14ac:dyDescent="0.3">
      <c r="A124" t="s">
        <v>233</v>
      </c>
      <c r="B124" t="s">
        <v>85</v>
      </c>
      <c r="C124">
        <v>19</v>
      </c>
      <c r="D124" t="s">
        <v>18</v>
      </c>
      <c r="E124" t="s">
        <v>46</v>
      </c>
      <c r="F124" t="s">
        <v>28</v>
      </c>
      <c r="G124" s="1">
        <v>45665</v>
      </c>
      <c r="H124" s="1">
        <v>45677</v>
      </c>
      <c r="I124" s="1" t="str">
        <f>TEXT(Table1[[#This Row],[Admission Date]],"MMMM")</f>
        <v>January</v>
      </c>
      <c r="J124">
        <v>12</v>
      </c>
      <c r="K124">
        <v>90084</v>
      </c>
    </row>
    <row r="125" spans="1:11" x14ac:dyDescent="0.3">
      <c r="A125" t="s">
        <v>234</v>
      </c>
      <c r="B125" t="s">
        <v>45</v>
      </c>
      <c r="C125">
        <v>46</v>
      </c>
      <c r="D125" t="s">
        <v>18</v>
      </c>
      <c r="E125" t="s">
        <v>27</v>
      </c>
      <c r="F125" t="s">
        <v>24</v>
      </c>
      <c r="G125" s="1">
        <v>45746</v>
      </c>
      <c r="H125" s="1">
        <v>45748</v>
      </c>
      <c r="I125" s="1" t="str">
        <f>TEXT(Table1[[#This Row],[Admission Date]],"MMMM")</f>
        <v>March</v>
      </c>
      <c r="J125">
        <v>2</v>
      </c>
      <c r="K125">
        <v>13502</v>
      </c>
    </row>
    <row r="126" spans="1:11" x14ac:dyDescent="0.3">
      <c r="A126" t="s">
        <v>235</v>
      </c>
      <c r="B126" t="s">
        <v>232</v>
      </c>
      <c r="C126">
        <v>60</v>
      </c>
      <c r="D126" t="s">
        <v>18</v>
      </c>
      <c r="E126" t="s">
        <v>14</v>
      </c>
      <c r="F126" t="s">
        <v>28</v>
      </c>
      <c r="G126" s="1">
        <v>45771</v>
      </c>
      <c r="H126" s="1">
        <v>45777</v>
      </c>
      <c r="I126" s="1" t="str">
        <f>TEXT(Table1[[#This Row],[Admission Date]],"MMMM")</f>
        <v>April</v>
      </c>
      <c r="J126">
        <v>6</v>
      </c>
      <c r="K126">
        <v>29898</v>
      </c>
    </row>
    <row r="127" spans="1:11" x14ac:dyDescent="0.3">
      <c r="A127" t="s">
        <v>236</v>
      </c>
      <c r="B127" t="s">
        <v>237</v>
      </c>
      <c r="C127">
        <v>60</v>
      </c>
      <c r="D127" t="s">
        <v>13</v>
      </c>
      <c r="E127" t="s">
        <v>23</v>
      </c>
      <c r="F127" t="s">
        <v>63</v>
      </c>
      <c r="G127" s="1">
        <v>45754</v>
      </c>
      <c r="H127" s="1">
        <v>45762</v>
      </c>
      <c r="I127" s="1" t="str">
        <f>TEXT(Table1[[#This Row],[Admission Date]],"MMMM")</f>
        <v>April</v>
      </c>
      <c r="J127">
        <v>8</v>
      </c>
      <c r="K127">
        <v>37232</v>
      </c>
    </row>
    <row r="128" spans="1:11" x14ac:dyDescent="0.3">
      <c r="A128" t="s">
        <v>238</v>
      </c>
      <c r="B128" t="s">
        <v>239</v>
      </c>
      <c r="C128">
        <v>36</v>
      </c>
      <c r="D128" t="s">
        <v>13</v>
      </c>
      <c r="E128" t="s">
        <v>14</v>
      </c>
      <c r="F128" t="s">
        <v>60</v>
      </c>
      <c r="G128" s="1">
        <v>45767</v>
      </c>
      <c r="H128" s="1">
        <v>45778</v>
      </c>
      <c r="I128" s="1" t="str">
        <f>TEXT(Table1[[#This Row],[Admission Date]],"MMMM")</f>
        <v>April</v>
      </c>
      <c r="J128">
        <v>11</v>
      </c>
      <c r="K128">
        <v>112970</v>
      </c>
    </row>
    <row r="129" spans="1:11" x14ac:dyDescent="0.3">
      <c r="A129" t="s">
        <v>240</v>
      </c>
      <c r="B129" t="s">
        <v>204</v>
      </c>
      <c r="C129">
        <v>20</v>
      </c>
      <c r="D129" t="s">
        <v>13</v>
      </c>
      <c r="E129" t="s">
        <v>34</v>
      </c>
      <c r="F129" t="s">
        <v>24</v>
      </c>
      <c r="G129" s="1">
        <v>45659</v>
      </c>
      <c r="H129" s="1">
        <v>45669</v>
      </c>
      <c r="I129" s="1" t="str">
        <f>TEXT(Table1[[#This Row],[Admission Date]],"MMMM")</f>
        <v>January</v>
      </c>
      <c r="J129">
        <v>10</v>
      </c>
      <c r="K129">
        <v>112810</v>
      </c>
    </row>
    <row r="130" spans="1:11" x14ac:dyDescent="0.3">
      <c r="A130" t="s">
        <v>241</v>
      </c>
      <c r="B130" t="s">
        <v>242</v>
      </c>
      <c r="C130">
        <v>72</v>
      </c>
      <c r="D130" t="s">
        <v>18</v>
      </c>
      <c r="E130" t="s">
        <v>103</v>
      </c>
      <c r="F130" t="s">
        <v>63</v>
      </c>
      <c r="G130" s="1">
        <v>45744</v>
      </c>
      <c r="H130" s="1">
        <v>45746</v>
      </c>
      <c r="I130" s="1" t="str">
        <f>TEXT(Table1[[#This Row],[Admission Date]],"MMMM")</f>
        <v>March</v>
      </c>
      <c r="J130">
        <v>2</v>
      </c>
      <c r="K130">
        <v>11654</v>
      </c>
    </row>
    <row r="131" spans="1:11" x14ac:dyDescent="0.3">
      <c r="A131" t="s">
        <v>243</v>
      </c>
      <c r="B131" t="s">
        <v>163</v>
      </c>
      <c r="C131">
        <v>20</v>
      </c>
      <c r="D131" t="s">
        <v>18</v>
      </c>
      <c r="E131" t="s">
        <v>49</v>
      </c>
      <c r="F131" t="s">
        <v>20</v>
      </c>
      <c r="G131" s="1">
        <v>45955</v>
      </c>
      <c r="H131" s="1">
        <v>45956</v>
      </c>
      <c r="I131" s="1" t="str">
        <f>TEXT(Table1[[#This Row],[Admission Date]],"MMMM")</f>
        <v>October</v>
      </c>
      <c r="J131">
        <v>1</v>
      </c>
      <c r="K131">
        <v>6788</v>
      </c>
    </row>
    <row r="132" spans="1:11" x14ac:dyDescent="0.3">
      <c r="A132" t="s">
        <v>244</v>
      </c>
      <c r="B132" t="s">
        <v>108</v>
      </c>
      <c r="C132">
        <v>19</v>
      </c>
      <c r="D132" t="s">
        <v>13</v>
      </c>
      <c r="E132" t="s">
        <v>34</v>
      </c>
      <c r="F132" t="s">
        <v>20</v>
      </c>
      <c r="G132" s="1">
        <v>45742</v>
      </c>
      <c r="H132" s="1">
        <v>45752</v>
      </c>
      <c r="I132" s="1" t="str">
        <f>TEXT(Table1[[#This Row],[Admission Date]],"MMMM")</f>
        <v>March</v>
      </c>
      <c r="J132">
        <v>10</v>
      </c>
      <c r="K132">
        <v>75910</v>
      </c>
    </row>
    <row r="133" spans="1:11" x14ac:dyDescent="0.3">
      <c r="A133" t="s">
        <v>245</v>
      </c>
      <c r="B133" t="s">
        <v>246</v>
      </c>
      <c r="C133">
        <v>7</v>
      </c>
      <c r="D133" t="s">
        <v>13</v>
      </c>
      <c r="E133" t="s">
        <v>103</v>
      </c>
      <c r="F133" t="s">
        <v>24</v>
      </c>
      <c r="G133" s="1">
        <v>46017</v>
      </c>
      <c r="H133" s="1">
        <v>46031</v>
      </c>
      <c r="I133" s="1" t="str">
        <f>TEXT(Table1[[#This Row],[Admission Date]],"MMMM")</f>
        <v>December</v>
      </c>
      <c r="J133">
        <v>14</v>
      </c>
      <c r="K133">
        <v>88074</v>
      </c>
    </row>
    <row r="134" spans="1:11" x14ac:dyDescent="0.3">
      <c r="A134" t="s">
        <v>247</v>
      </c>
      <c r="B134" t="s">
        <v>248</v>
      </c>
      <c r="C134">
        <v>11</v>
      </c>
      <c r="D134" t="s">
        <v>18</v>
      </c>
      <c r="E134" t="s">
        <v>34</v>
      </c>
      <c r="F134" t="s">
        <v>63</v>
      </c>
      <c r="G134" s="1">
        <v>45934</v>
      </c>
      <c r="H134" s="1">
        <v>45942</v>
      </c>
      <c r="I134" s="1" t="str">
        <f>TEXT(Table1[[#This Row],[Admission Date]],"MMMM")</f>
        <v>October</v>
      </c>
      <c r="J134">
        <v>8</v>
      </c>
      <c r="K134">
        <v>85432</v>
      </c>
    </row>
    <row r="135" spans="1:11" x14ac:dyDescent="0.3">
      <c r="A135" t="s">
        <v>249</v>
      </c>
      <c r="B135" t="s">
        <v>250</v>
      </c>
      <c r="C135">
        <v>12</v>
      </c>
      <c r="D135" t="s">
        <v>18</v>
      </c>
      <c r="E135" t="s">
        <v>40</v>
      </c>
      <c r="F135" t="s">
        <v>28</v>
      </c>
      <c r="G135" s="1">
        <v>45849</v>
      </c>
      <c r="H135" s="1">
        <v>45861</v>
      </c>
      <c r="I135" s="1" t="str">
        <f>TEXT(Table1[[#This Row],[Admission Date]],"MMMM")</f>
        <v>July</v>
      </c>
      <c r="J135">
        <v>12</v>
      </c>
      <c r="K135">
        <v>110892</v>
      </c>
    </row>
    <row r="136" spans="1:11" x14ac:dyDescent="0.3">
      <c r="A136" t="s">
        <v>251</v>
      </c>
      <c r="B136" t="s">
        <v>252</v>
      </c>
      <c r="C136">
        <v>38</v>
      </c>
      <c r="D136" t="s">
        <v>13</v>
      </c>
      <c r="E136" t="s">
        <v>103</v>
      </c>
      <c r="F136" t="s">
        <v>20</v>
      </c>
      <c r="G136" s="1">
        <v>45813</v>
      </c>
      <c r="H136" s="1">
        <v>45814</v>
      </c>
      <c r="I136" s="1" t="str">
        <f>TEXT(Table1[[#This Row],[Admission Date]],"MMMM")</f>
        <v>June</v>
      </c>
      <c r="J136">
        <v>1</v>
      </c>
      <c r="K136">
        <v>10032</v>
      </c>
    </row>
    <row r="137" spans="1:11" x14ac:dyDescent="0.3">
      <c r="A137" t="s">
        <v>253</v>
      </c>
      <c r="B137" t="s">
        <v>126</v>
      </c>
      <c r="C137">
        <v>78</v>
      </c>
      <c r="D137" t="s">
        <v>18</v>
      </c>
      <c r="E137" t="s">
        <v>14</v>
      </c>
      <c r="F137" t="s">
        <v>35</v>
      </c>
      <c r="G137" s="1">
        <v>45709</v>
      </c>
      <c r="H137" s="1">
        <v>45719</v>
      </c>
      <c r="I137" s="1" t="str">
        <f>TEXT(Table1[[#This Row],[Admission Date]],"MMMM")</f>
        <v>February</v>
      </c>
      <c r="J137">
        <v>10</v>
      </c>
      <c r="K137">
        <v>57670</v>
      </c>
    </row>
    <row r="138" spans="1:11" x14ac:dyDescent="0.3">
      <c r="A138" t="s">
        <v>254</v>
      </c>
      <c r="B138" t="s">
        <v>188</v>
      </c>
      <c r="C138">
        <v>27</v>
      </c>
      <c r="D138" t="s">
        <v>13</v>
      </c>
      <c r="E138" t="s">
        <v>31</v>
      </c>
      <c r="F138" t="s">
        <v>63</v>
      </c>
      <c r="G138" s="1">
        <v>45919</v>
      </c>
      <c r="H138" s="1">
        <v>45933</v>
      </c>
      <c r="I138" s="1" t="str">
        <f>TEXT(Table1[[#This Row],[Admission Date]],"MMMM")</f>
        <v>September</v>
      </c>
      <c r="J138">
        <v>14</v>
      </c>
      <c r="K138">
        <v>66682</v>
      </c>
    </row>
    <row r="139" spans="1:11" x14ac:dyDescent="0.3">
      <c r="A139" t="s">
        <v>255</v>
      </c>
      <c r="B139" t="s">
        <v>172</v>
      </c>
      <c r="C139">
        <v>60</v>
      </c>
      <c r="D139" t="s">
        <v>13</v>
      </c>
      <c r="E139" t="s">
        <v>34</v>
      </c>
      <c r="F139" t="s">
        <v>35</v>
      </c>
      <c r="G139" s="1">
        <v>45741</v>
      </c>
      <c r="H139" s="1">
        <v>45743</v>
      </c>
      <c r="I139" s="1" t="str">
        <f>TEXT(Table1[[#This Row],[Admission Date]],"MMMM")</f>
        <v>March</v>
      </c>
      <c r="J139">
        <v>2</v>
      </c>
      <c r="K139">
        <v>8792</v>
      </c>
    </row>
    <row r="140" spans="1:11" x14ac:dyDescent="0.3">
      <c r="A140" t="s">
        <v>256</v>
      </c>
      <c r="B140" t="s">
        <v>257</v>
      </c>
      <c r="C140">
        <v>65</v>
      </c>
      <c r="D140" t="s">
        <v>13</v>
      </c>
      <c r="E140" t="s">
        <v>14</v>
      </c>
      <c r="F140" t="s">
        <v>60</v>
      </c>
      <c r="G140" s="1">
        <v>45867</v>
      </c>
      <c r="H140" s="1">
        <v>45868</v>
      </c>
      <c r="I140" s="1" t="str">
        <f>TEXT(Table1[[#This Row],[Admission Date]],"MMMM")</f>
        <v>July</v>
      </c>
      <c r="J140">
        <v>1</v>
      </c>
      <c r="K140">
        <v>7452</v>
      </c>
    </row>
    <row r="141" spans="1:11" x14ac:dyDescent="0.3">
      <c r="A141" t="s">
        <v>258</v>
      </c>
      <c r="B141" t="s">
        <v>30</v>
      </c>
      <c r="C141">
        <v>43</v>
      </c>
      <c r="D141" t="s">
        <v>13</v>
      </c>
      <c r="E141" t="s">
        <v>49</v>
      </c>
      <c r="F141" t="s">
        <v>24</v>
      </c>
      <c r="G141" s="1">
        <v>45932</v>
      </c>
      <c r="H141" s="1">
        <v>45936</v>
      </c>
      <c r="I141" s="1" t="str">
        <f>TEXT(Table1[[#This Row],[Admission Date]],"MMMM")</f>
        <v>October</v>
      </c>
      <c r="J141">
        <v>4</v>
      </c>
      <c r="K141">
        <v>17724</v>
      </c>
    </row>
    <row r="142" spans="1:11" x14ac:dyDescent="0.3">
      <c r="A142" t="s">
        <v>259</v>
      </c>
      <c r="B142" t="s">
        <v>260</v>
      </c>
      <c r="C142">
        <v>33</v>
      </c>
      <c r="D142" t="s">
        <v>18</v>
      </c>
      <c r="E142" t="s">
        <v>19</v>
      </c>
      <c r="F142" t="s">
        <v>20</v>
      </c>
      <c r="G142" s="1">
        <v>45928</v>
      </c>
      <c r="H142" s="1">
        <v>45929</v>
      </c>
      <c r="I142" s="1" t="str">
        <f>TEXT(Table1[[#This Row],[Admission Date]],"MMMM")</f>
        <v>September</v>
      </c>
      <c r="J142">
        <v>1</v>
      </c>
      <c r="K142">
        <v>11098</v>
      </c>
    </row>
    <row r="143" spans="1:11" x14ac:dyDescent="0.3">
      <c r="A143" t="s">
        <v>261</v>
      </c>
      <c r="B143" t="s">
        <v>57</v>
      </c>
      <c r="C143">
        <v>58</v>
      </c>
      <c r="D143" t="s">
        <v>18</v>
      </c>
      <c r="E143" t="s">
        <v>31</v>
      </c>
      <c r="F143" t="s">
        <v>28</v>
      </c>
      <c r="G143" s="1">
        <v>45825</v>
      </c>
      <c r="H143" s="1">
        <v>45840</v>
      </c>
      <c r="I143" s="1" t="str">
        <f>TEXT(Table1[[#This Row],[Admission Date]],"MMMM")</f>
        <v>June</v>
      </c>
      <c r="J143">
        <v>15</v>
      </c>
      <c r="K143">
        <v>119145</v>
      </c>
    </row>
    <row r="144" spans="1:11" x14ac:dyDescent="0.3">
      <c r="A144" t="s">
        <v>262</v>
      </c>
      <c r="B144" t="s">
        <v>94</v>
      </c>
      <c r="C144">
        <v>63</v>
      </c>
      <c r="D144" t="s">
        <v>18</v>
      </c>
      <c r="E144" t="s">
        <v>27</v>
      </c>
      <c r="F144" t="s">
        <v>35</v>
      </c>
      <c r="G144" s="1">
        <v>45926</v>
      </c>
      <c r="H144" s="1">
        <v>45930</v>
      </c>
      <c r="I144" s="1" t="str">
        <f>TEXT(Table1[[#This Row],[Admission Date]],"MMMM")</f>
        <v>September</v>
      </c>
      <c r="J144">
        <v>4</v>
      </c>
      <c r="K144">
        <v>19508</v>
      </c>
    </row>
    <row r="145" spans="1:11" x14ac:dyDescent="0.3">
      <c r="A145" t="s">
        <v>263</v>
      </c>
      <c r="B145" t="s">
        <v>138</v>
      </c>
      <c r="C145">
        <v>38</v>
      </c>
      <c r="D145" t="s">
        <v>18</v>
      </c>
      <c r="E145" t="s">
        <v>31</v>
      </c>
      <c r="F145" t="s">
        <v>15</v>
      </c>
      <c r="G145" s="1">
        <v>45829</v>
      </c>
      <c r="H145" s="1">
        <v>45836</v>
      </c>
      <c r="I145" s="1" t="str">
        <f>TEXT(Table1[[#This Row],[Admission Date]],"MMMM")</f>
        <v>June</v>
      </c>
      <c r="J145">
        <v>7</v>
      </c>
      <c r="K145">
        <v>66661</v>
      </c>
    </row>
    <row r="146" spans="1:11" x14ac:dyDescent="0.3">
      <c r="A146" t="s">
        <v>264</v>
      </c>
      <c r="B146" t="s">
        <v>265</v>
      </c>
      <c r="C146">
        <v>38</v>
      </c>
      <c r="D146" t="s">
        <v>18</v>
      </c>
      <c r="E146" t="s">
        <v>31</v>
      </c>
      <c r="F146" t="s">
        <v>63</v>
      </c>
      <c r="G146" s="1">
        <v>45853</v>
      </c>
      <c r="H146" s="1">
        <v>45854</v>
      </c>
      <c r="I146" s="1" t="str">
        <f>TEXT(Table1[[#This Row],[Admission Date]],"MMMM")</f>
        <v>July</v>
      </c>
      <c r="J146">
        <v>1</v>
      </c>
      <c r="K146">
        <v>8065</v>
      </c>
    </row>
    <row r="147" spans="1:11" x14ac:dyDescent="0.3">
      <c r="A147" t="s">
        <v>266</v>
      </c>
      <c r="B147" t="s">
        <v>248</v>
      </c>
      <c r="C147">
        <v>87</v>
      </c>
      <c r="D147" t="s">
        <v>13</v>
      </c>
      <c r="E147" t="s">
        <v>19</v>
      </c>
      <c r="F147" t="s">
        <v>15</v>
      </c>
      <c r="G147" s="1">
        <v>45993</v>
      </c>
      <c r="H147" s="1">
        <v>46005</v>
      </c>
      <c r="I147" s="1" t="str">
        <f>TEXT(Table1[[#This Row],[Admission Date]],"MMMM")</f>
        <v>December</v>
      </c>
      <c r="J147">
        <v>12</v>
      </c>
      <c r="K147">
        <v>77064</v>
      </c>
    </row>
    <row r="148" spans="1:11" x14ac:dyDescent="0.3">
      <c r="A148" t="s">
        <v>267</v>
      </c>
      <c r="B148" t="s">
        <v>268</v>
      </c>
      <c r="C148">
        <v>35</v>
      </c>
      <c r="D148" t="s">
        <v>18</v>
      </c>
      <c r="E148" t="s">
        <v>23</v>
      </c>
      <c r="F148" t="s">
        <v>35</v>
      </c>
      <c r="G148" s="1">
        <v>45899</v>
      </c>
      <c r="H148" s="1">
        <v>45912</v>
      </c>
      <c r="I148" s="1" t="str">
        <f>TEXT(Table1[[#This Row],[Admission Date]],"MMMM")</f>
        <v>August</v>
      </c>
      <c r="J148">
        <v>13</v>
      </c>
      <c r="K148">
        <v>131391</v>
      </c>
    </row>
    <row r="149" spans="1:11" x14ac:dyDescent="0.3">
      <c r="A149" t="s">
        <v>269</v>
      </c>
      <c r="B149" t="s">
        <v>30</v>
      </c>
      <c r="C149">
        <v>82</v>
      </c>
      <c r="D149" t="s">
        <v>13</v>
      </c>
      <c r="E149" t="s">
        <v>19</v>
      </c>
      <c r="F149" t="s">
        <v>15</v>
      </c>
      <c r="G149" s="1">
        <v>45664</v>
      </c>
      <c r="H149" s="1">
        <v>45678</v>
      </c>
      <c r="I149" s="1" t="str">
        <f>TEXT(Table1[[#This Row],[Admission Date]],"MMMM")</f>
        <v>January</v>
      </c>
      <c r="J149">
        <v>14</v>
      </c>
      <c r="K149">
        <v>157808</v>
      </c>
    </row>
    <row r="150" spans="1:11" x14ac:dyDescent="0.3">
      <c r="A150" t="s">
        <v>270</v>
      </c>
      <c r="B150" t="s">
        <v>133</v>
      </c>
      <c r="C150">
        <v>15</v>
      </c>
      <c r="D150" t="s">
        <v>13</v>
      </c>
      <c r="E150" t="s">
        <v>46</v>
      </c>
      <c r="F150" t="s">
        <v>20</v>
      </c>
      <c r="G150" s="1">
        <v>45972</v>
      </c>
      <c r="H150" s="1">
        <v>45985</v>
      </c>
      <c r="I150" s="1" t="str">
        <f>TEXT(Table1[[#This Row],[Admission Date]],"MMMM")</f>
        <v>November</v>
      </c>
      <c r="J150">
        <v>13</v>
      </c>
      <c r="K150">
        <v>64142</v>
      </c>
    </row>
    <row r="151" spans="1:11" x14ac:dyDescent="0.3">
      <c r="A151" t="s">
        <v>271</v>
      </c>
      <c r="B151" t="s">
        <v>48</v>
      </c>
      <c r="C151">
        <v>20</v>
      </c>
      <c r="D151" t="s">
        <v>13</v>
      </c>
      <c r="E151" t="s">
        <v>34</v>
      </c>
      <c r="F151" t="s">
        <v>63</v>
      </c>
      <c r="G151" s="1">
        <v>45743</v>
      </c>
      <c r="H151" s="1">
        <v>45752</v>
      </c>
      <c r="I151" s="1" t="str">
        <f>TEXT(Table1[[#This Row],[Admission Date]],"MMMM")</f>
        <v>March</v>
      </c>
      <c r="J151">
        <v>9</v>
      </c>
      <c r="K151">
        <v>97470</v>
      </c>
    </row>
    <row r="152" spans="1:11" x14ac:dyDescent="0.3">
      <c r="A152" t="s">
        <v>272</v>
      </c>
      <c r="B152" t="s">
        <v>37</v>
      </c>
      <c r="C152">
        <v>73</v>
      </c>
      <c r="D152" t="s">
        <v>18</v>
      </c>
      <c r="E152" t="s">
        <v>103</v>
      </c>
      <c r="F152" t="s">
        <v>20</v>
      </c>
      <c r="G152" s="1">
        <v>45698</v>
      </c>
      <c r="H152" s="1">
        <v>45699</v>
      </c>
      <c r="I152" s="1" t="str">
        <f>TEXT(Table1[[#This Row],[Admission Date]],"MMMM")</f>
        <v>February</v>
      </c>
      <c r="J152">
        <v>1</v>
      </c>
      <c r="K152">
        <v>10280</v>
      </c>
    </row>
    <row r="153" spans="1:11" x14ac:dyDescent="0.3">
      <c r="A153" t="s">
        <v>273</v>
      </c>
      <c r="B153" t="s">
        <v>274</v>
      </c>
      <c r="C153">
        <v>81</v>
      </c>
      <c r="D153" t="s">
        <v>13</v>
      </c>
      <c r="E153" t="s">
        <v>40</v>
      </c>
      <c r="F153" t="s">
        <v>60</v>
      </c>
      <c r="G153" s="1">
        <v>45990</v>
      </c>
      <c r="H153" s="1">
        <v>46000</v>
      </c>
      <c r="I153" s="1" t="str">
        <f>TEXT(Table1[[#This Row],[Admission Date]],"MMMM")</f>
        <v>November</v>
      </c>
      <c r="J153">
        <v>10</v>
      </c>
      <c r="K153">
        <v>62580</v>
      </c>
    </row>
    <row r="154" spans="1:11" x14ac:dyDescent="0.3">
      <c r="A154" t="s">
        <v>275</v>
      </c>
      <c r="B154" t="s">
        <v>276</v>
      </c>
      <c r="C154">
        <v>32</v>
      </c>
      <c r="D154" t="s">
        <v>18</v>
      </c>
      <c r="E154" t="s">
        <v>31</v>
      </c>
      <c r="F154" t="s">
        <v>28</v>
      </c>
      <c r="G154" s="1">
        <v>45984</v>
      </c>
      <c r="H154" s="1">
        <v>45994</v>
      </c>
      <c r="I154" s="1" t="str">
        <f>TEXT(Table1[[#This Row],[Admission Date]],"MMMM")</f>
        <v>November</v>
      </c>
      <c r="J154">
        <v>10</v>
      </c>
      <c r="K154">
        <v>88870</v>
      </c>
    </row>
    <row r="155" spans="1:11" x14ac:dyDescent="0.3">
      <c r="A155" t="s">
        <v>277</v>
      </c>
      <c r="B155" t="s">
        <v>250</v>
      </c>
      <c r="C155">
        <v>60</v>
      </c>
      <c r="D155" t="s">
        <v>13</v>
      </c>
      <c r="E155" t="s">
        <v>40</v>
      </c>
      <c r="F155" t="s">
        <v>20</v>
      </c>
      <c r="G155" s="1">
        <v>45814</v>
      </c>
      <c r="H155" s="1">
        <v>45824</v>
      </c>
      <c r="I155" s="1" t="str">
        <f>TEXT(Table1[[#This Row],[Admission Date]],"MMMM")</f>
        <v>June</v>
      </c>
      <c r="J155">
        <v>10</v>
      </c>
      <c r="K155">
        <v>49760</v>
      </c>
    </row>
    <row r="156" spans="1:11" x14ac:dyDescent="0.3">
      <c r="A156" t="s">
        <v>278</v>
      </c>
      <c r="B156" t="s">
        <v>37</v>
      </c>
      <c r="C156">
        <v>43</v>
      </c>
      <c r="D156" t="s">
        <v>18</v>
      </c>
      <c r="E156" t="s">
        <v>46</v>
      </c>
      <c r="F156" t="s">
        <v>28</v>
      </c>
      <c r="G156" s="1">
        <v>45696</v>
      </c>
      <c r="H156" s="1">
        <v>45697</v>
      </c>
      <c r="I156" s="1" t="str">
        <f>TEXT(Table1[[#This Row],[Admission Date]],"MMMM")</f>
        <v>February</v>
      </c>
      <c r="J156">
        <v>1</v>
      </c>
      <c r="K156">
        <v>4027</v>
      </c>
    </row>
    <row r="157" spans="1:11" x14ac:dyDescent="0.3">
      <c r="A157" t="s">
        <v>279</v>
      </c>
      <c r="B157" t="s">
        <v>128</v>
      </c>
      <c r="C157">
        <v>75</v>
      </c>
      <c r="D157" t="s">
        <v>13</v>
      </c>
      <c r="E157" t="s">
        <v>34</v>
      </c>
      <c r="F157" t="s">
        <v>43</v>
      </c>
      <c r="G157" s="1">
        <v>45997</v>
      </c>
      <c r="H157" s="1">
        <v>46009</v>
      </c>
      <c r="I157" s="1" t="str">
        <f>TEXT(Table1[[#This Row],[Admission Date]],"MMMM")</f>
        <v>December</v>
      </c>
      <c r="J157">
        <v>12</v>
      </c>
      <c r="K157">
        <v>128676</v>
      </c>
    </row>
    <row r="158" spans="1:11" x14ac:dyDescent="0.3">
      <c r="A158" t="s">
        <v>280</v>
      </c>
      <c r="B158" t="s">
        <v>188</v>
      </c>
      <c r="C158">
        <v>41</v>
      </c>
      <c r="D158" t="s">
        <v>18</v>
      </c>
      <c r="E158" t="s">
        <v>103</v>
      </c>
      <c r="F158" t="s">
        <v>43</v>
      </c>
      <c r="G158" s="1">
        <v>45924</v>
      </c>
      <c r="H158" s="1">
        <v>45934</v>
      </c>
      <c r="I158" s="1" t="str">
        <f>TEXT(Table1[[#This Row],[Admission Date]],"MMMM")</f>
        <v>September</v>
      </c>
      <c r="J158">
        <v>10</v>
      </c>
      <c r="K158">
        <v>105720</v>
      </c>
    </row>
    <row r="159" spans="1:11" x14ac:dyDescent="0.3">
      <c r="A159" t="s">
        <v>281</v>
      </c>
      <c r="B159" t="s">
        <v>12</v>
      </c>
      <c r="C159">
        <v>32</v>
      </c>
      <c r="D159" t="s">
        <v>18</v>
      </c>
      <c r="E159" t="s">
        <v>19</v>
      </c>
      <c r="F159" t="s">
        <v>60</v>
      </c>
      <c r="G159" s="1">
        <v>45679</v>
      </c>
      <c r="H159" s="1">
        <v>45687</v>
      </c>
      <c r="I159" s="1" t="str">
        <f>TEXT(Table1[[#This Row],[Admission Date]],"MMMM")</f>
        <v>January</v>
      </c>
      <c r="J159">
        <v>8</v>
      </c>
      <c r="K159">
        <v>38632</v>
      </c>
    </row>
    <row r="160" spans="1:11" x14ac:dyDescent="0.3">
      <c r="A160" t="s">
        <v>282</v>
      </c>
      <c r="B160" t="s">
        <v>248</v>
      </c>
      <c r="C160">
        <v>55</v>
      </c>
      <c r="D160" t="s">
        <v>18</v>
      </c>
      <c r="E160" t="s">
        <v>103</v>
      </c>
      <c r="F160" t="s">
        <v>28</v>
      </c>
      <c r="G160" s="1">
        <v>45830</v>
      </c>
      <c r="H160" s="1">
        <v>45843</v>
      </c>
      <c r="I160" s="1" t="str">
        <f>TEXT(Table1[[#This Row],[Admission Date]],"MMMM")</f>
        <v>June</v>
      </c>
      <c r="J160">
        <v>13</v>
      </c>
      <c r="K160">
        <v>68185</v>
      </c>
    </row>
    <row r="161" spans="1:11" x14ac:dyDescent="0.3">
      <c r="A161" t="s">
        <v>283</v>
      </c>
      <c r="B161" t="s">
        <v>284</v>
      </c>
      <c r="C161">
        <v>37</v>
      </c>
      <c r="D161" t="s">
        <v>18</v>
      </c>
      <c r="E161" t="s">
        <v>27</v>
      </c>
      <c r="F161" t="s">
        <v>63</v>
      </c>
      <c r="G161" s="1">
        <v>45915</v>
      </c>
      <c r="H161" s="1">
        <v>45925</v>
      </c>
      <c r="I161" s="1" t="str">
        <f>TEXT(Table1[[#This Row],[Admission Date]],"MMMM")</f>
        <v>September</v>
      </c>
      <c r="J161">
        <v>10</v>
      </c>
      <c r="K161">
        <v>109920</v>
      </c>
    </row>
    <row r="162" spans="1:11" x14ac:dyDescent="0.3">
      <c r="A162" t="s">
        <v>285</v>
      </c>
      <c r="B162" t="s">
        <v>221</v>
      </c>
      <c r="C162">
        <v>9</v>
      </c>
      <c r="D162" t="s">
        <v>18</v>
      </c>
      <c r="E162" t="s">
        <v>31</v>
      </c>
      <c r="F162" t="s">
        <v>43</v>
      </c>
      <c r="G162" s="1">
        <v>45862</v>
      </c>
      <c r="H162" s="1">
        <v>45867</v>
      </c>
      <c r="I162" s="1" t="str">
        <f>TEXT(Table1[[#This Row],[Admission Date]],"MMMM")</f>
        <v>July</v>
      </c>
      <c r="J162">
        <v>5</v>
      </c>
      <c r="K162">
        <v>23120</v>
      </c>
    </row>
    <row r="163" spans="1:11" x14ac:dyDescent="0.3">
      <c r="A163" t="s">
        <v>286</v>
      </c>
      <c r="B163" t="s">
        <v>42</v>
      </c>
      <c r="C163">
        <v>53</v>
      </c>
      <c r="D163" t="s">
        <v>18</v>
      </c>
      <c r="E163" t="s">
        <v>46</v>
      </c>
      <c r="F163" t="s">
        <v>20</v>
      </c>
      <c r="G163" s="1">
        <v>45930</v>
      </c>
      <c r="H163" s="1">
        <v>45941</v>
      </c>
      <c r="I163" s="1" t="str">
        <f>TEXT(Table1[[#This Row],[Admission Date]],"MMMM")</f>
        <v>September</v>
      </c>
      <c r="J163">
        <v>11</v>
      </c>
      <c r="K163">
        <v>106755</v>
      </c>
    </row>
    <row r="164" spans="1:11" x14ac:dyDescent="0.3">
      <c r="A164" t="s">
        <v>287</v>
      </c>
      <c r="B164" t="s">
        <v>79</v>
      </c>
      <c r="C164">
        <v>75</v>
      </c>
      <c r="D164" t="s">
        <v>18</v>
      </c>
      <c r="E164" t="s">
        <v>31</v>
      </c>
      <c r="F164" t="s">
        <v>20</v>
      </c>
      <c r="G164" s="1">
        <v>45711</v>
      </c>
      <c r="H164" s="1">
        <v>45726</v>
      </c>
      <c r="I164" s="1" t="str">
        <f>TEXT(Table1[[#This Row],[Admission Date]],"MMMM")</f>
        <v>February</v>
      </c>
      <c r="J164">
        <v>15</v>
      </c>
      <c r="K164">
        <v>164280</v>
      </c>
    </row>
    <row r="165" spans="1:11" x14ac:dyDescent="0.3">
      <c r="A165" t="s">
        <v>288</v>
      </c>
      <c r="B165" t="s">
        <v>289</v>
      </c>
      <c r="C165">
        <v>21</v>
      </c>
      <c r="D165" t="s">
        <v>13</v>
      </c>
      <c r="E165" t="s">
        <v>19</v>
      </c>
      <c r="F165" t="s">
        <v>15</v>
      </c>
      <c r="G165" s="1">
        <v>45768</v>
      </c>
      <c r="H165" s="1">
        <v>45770</v>
      </c>
      <c r="I165" s="1" t="str">
        <f>TEXT(Table1[[#This Row],[Admission Date]],"MMMM")</f>
        <v>April</v>
      </c>
      <c r="J165">
        <v>2</v>
      </c>
      <c r="K165">
        <v>20326</v>
      </c>
    </row>
    <row r="166" spans="1:11" x14ac:dyDescent="0.3">
      <c r="A166" t="s">
        <v>290</v>
      </c>
      <c r="B166" t="s">
        <v>17</v>
      </c>
      <c r="C166">
        <v>60</v>
      </c>
      <c r="D166" t="s">
        <v>13</v>
      </c>
      <c r="E166" t="s">
        <v>19</v>
      </c>
      <c r="F166" t="s">
        <v>28</v>
      </c>
      <c r="G166" s="1">
        <v>45806</v>
      </c>
      <c r="H166" s="1">
        <v>45814</v>
      </c>
      <c r="I166" s="1" t="str">
        <f>TEXT(Table1[[#This Row],[Admission Date]],"MMMM")</f>
        <v>May</v>
      </c>
      <c r="J166">
        <v>8</v>
      </c>
      <c r="K166">
        <v>77664</v>
      </c>
    </row>
    <row r="167" spans="1:11" x14ac:dyDescent="0.3">
      <c r="A167" t="s">
        <v>291</v>
      </c>
      <c r="B167" t="s">
        <v>59</v>
      </c>
      <c r="C167">
        <v>79</v>
      </c>
      <c r="D167" t="s">
        <v>13</v>
      </c>
      <c r="E167" t="s">
        <v>27</v>
      </c>
      <c r="F167" t="s">
        <v>24</v>
      </c>
      <c r="G167" s="1">
        <v>45963</v>
      </c>
      <c r="H167" s="1">
        <v>45973</v>
      </c>
      <c r="I167" s="1" t="str">
        <f>TEXT(Table1[[#This Row],[Admission Date]],"MMMM")</f>
        <v>November</v>
      </c>
      <c r="J167">
        <v>10</v>
      </c>
      <c r="K167">
        <v>72930</v>
      </c>
    </row>
    <row r="168" spans="1:11" x14ac:dyDescent="0.3">
      <c r="A168" t="s">
        <v>292</v>
      </c>
      <c r="B168" t="s">
        <v>143</v>
      </c>
      <c r="C168">
        <v>36</v>
      </c>
      <c r="D168" t="s">
        <v>13</v>
      </c>
      <c r="E168" t="s">
        <v>103</v>
      </c>
      <c r="F168" t="s">
        <v>24</v>
      </c>
      <c r="G168" s="1">
        <v>45856</v>
      </c>
      <c r="H168" s="1">
        <v>45858</v>
      </c>
      <c r="I168" s="1" t="str">
        <f>TEXT(Table1[[#This Row],[Admission Date]],"MMMM")</f>
        <v>July</v>
      </c>
      <c r="J168">
        <v>2</v>
      </c>
      <c r="K168">
        <v>22000</v>
      </c>
    </row>
    <row r="169" spans="1:11" x14ac:dyDescent="0.3">
      <c r="A169" t="s">
        <v>293</v>
      </c>
      <c r="B169" t="s">
        <v>65</v>
      </c>
      <c r="C169">
        <v>13</v>
      </c>
      <c r="D169" t="s">
        <v>13</v>
      </c>
      <c r="E169" t="s">
        <v>23</v>
      </c>
      <c r="F169" t="s">
        <v>28</v>
      </c>
      <c r="G169" s="1">
        <v>45780</v>
      </c>
      <c r="H169" s="1">
        <v>45782</v>
      </c>
      <c r="I169" s="1" t="str">
        <f>TEXT(Table1[[#This Row],[Admission Date]],"MMMM")</f>
        <v>May</v>
      </c>
      <c r="J169">
        <v>2</v>
      </c>
      <c r="K169">
        <v>21068</v>
      </c>
    </row>
    <row r="170" spans="1:11" x14ac:dyDescent="0.3">
      <c r="A170" t="s">
        <v>294</v>
      </c>
      <c r="B170" t="s">
        <v>295</v>
      </c>
      <c r="C170">
        <v>54</v>
      </c>
      <c r="D170" t="s">
        <v>13</v>
      </c>
      <c r="E170" t="s">
        <v>27</v>
      </c>
      <c r="F170" t="s">
        <v>28</v>
      </c>
      <c r="G170" s="1">
        <v>45832</v>
      </c>
      <c r="H170" s="1">
        <v>45845</v>
      </c>
      <c r="I170" s="1" t="str">
        <f>TEXT(Table1[[#This Row],[Admission Date]],"MMMM")</f>
        <v>June</v>
      </c>
      <c r="J170">
        <v>13</v>
      </c>
      <c r="K170">
        <v>96122</v>
      </c>
    </row>
    <row r="171" spans="1:11" x14ac:dyDescent="0.3">
      <c r="A171" t="s">
        <v>296</v>
      </c>
      <c r="B171" t="s">
        <v>138</v>
      </c>
      <c r="C171">
        <v>69</v>
      </c>
      <c r="D171" t="s">
        <v>18</v>
      </c>
      <c r="E171" t="s">
        <v>23</v>
      </c>
      <c r="F171" t="s">
        <v>35</v>
      </c>
      <c r="G171" s="1">
        <v>45794</v>
      </c>
      <c r="H171" s="1">
        <v>45800</v>
      </c>
      <c r="I171" s="1" t="str">
        <f>TEXT(Table1[[#This Row],[Admission Date]],"MMMM")</f>
        <v>May</v>
      </c>
      <c r="J171">
        <v>6</v>
      </c>
      <c r="K171">
        <v>30552</v>
      </c>
    </row>
    <row r="172" spans="1:11" x14ac:dyDescent="0.3">
      <c r="A172" t="s">
        <v>297</v>
      </c>
      <c r="B172" t="s">
        <v>298</v>
      </c>
      <c r="C172">
        <v>20</v>
      </c>
      <c r="D172" t="s">
        <v>18</v>
      </c>
      <c r="E172" t="s">
        <v>103</v>
      </c>
      <c r="F172" t="s">
        <v>15</v>
      </c>
      <c r="G172" s="1">
        <v>45940</v>
      </c>
      <c r="H172" s="1">
        <v>45950</v>
      </c>
      <c r="I172" s="1" t="str">
        <f>TEXT(Table1[[#This Row],[Admission Date]],"MMMM")</f>
        <v>October</v>
      </c>
      <c r="J172">
        <v>10</v>
      </c>
      <c r="K172">
        <v>118350</v>
      </c>
    </row>
    <row r="173" spans="1:11" x14ac:dyDescent="0.3">
      <c r="A173" t="s">
        <v>299</v>
      </c>
      <c r="B173" t="s">
        <v>155</v>
      </c>
      <c r="C173">
        <v>11</v>
      </c>
      <c r="D173" t="s">
        <v>18</v>
      </c>
      <c r="E173" t="s">
        <v>40</v>
      </c>
      <c r="F173" t="s">
        <v>20</v>
      </c>
      <c r="G173" s="1">
        <v>45912</v>
      </c>
      <c r="H173" s="1">
        <v>45913</v>
      </c>
      <c r="I173" s="1" t="str">
        <f>TEXT(Table1[[#This Row],[Admission Date]],"MMMM")</f>
        <v>September</v>
      </c>
      <c r="J173">
        <v>1</v>
      </c>
      <c r="K173">
        <v>10102</v>
      </c>
    </row>
    <row r="174" spans="1:11" x14ac:dyDescent="0.3">
      <c r="A174" t="s">
        <v>300</v>
      </c>
      <c r="B174" t="s">
        <v>250</v>
      </c>
      <c r="C174">
        <v>31</v>
      </c>
      <c r="D174" t="s">
        <v>18</v>
      </c>
      <c r="E174" t="s">
        <v>46</v>
      </c>
      <c r="F174" t="s">
        <v>20</v>
      </c>
      <c r="G174" s="1">
        <v>45815</v>
      </c>
      <c r="H174" s="1">
        <v>45828</v>
      </c>
      <c r="I174" s="1" t="str">
        <f>TEXT(Table1[[#This Row],[Admission Date]],"MMMM")</f>
        <v>June</v>
      </c>
      <c r="J174">
        <v>13</v>
      </c>
      <c r="K174">
        <v>96876</v>
      </c>
    </row>
    <row r="175" spans="1:11" x14ac:dyDescent="0.3">
      <c r="A175" t="s">
        <v>301</v>
      </c>
      <c r="B175" t="s">
        <v>302</v>
      </c>
      <c r="C175">
        <v>80</v>
      </c>
      <c r="D175" t="s">
        <v>13</v>
      </c>
      <c r="E175" t="s">
        <v>34</v>
      </c>
      <c r="F175" t="s">
        <v>35</v>
      </c>
      <c r="G175" s="1">
        <v>45797</v>
      </c>
      <c r="H175" s="1">
        <v>45812</v>
      </c>
      <c r="I175" s="1" t="str">
        <f>TEXT(Table1[[#This Row],[Admission Date]],"MMMM")</f>
        <v>May</v>
      </c>
      <c r="J175">
        <v>15</v>
      </c>
      <c r="K175">
        <v>107970</v>
      </c>
    </row>
    <row r="176" spans="1:11" x14ac:dyDescent="0.3">
      <c r="A176" t="s">
        <v>303</v>
      </c>
      <c r="B176" t="s">
        <v>304</v>
      </c>
      <c r="C176">
        <v>34</v>
      </c>
      <c r="D176" t="s">
        <v>13</v>
      </c>
      <c r="E176" t="s">
        <v>23</v>
      </c>
      <c r="F176" t="s">
        <v>43</v>
      </c>
      <c r="G176" s="1">
        <v>45705</v>
      </c>
      <c r="H176" s="1">
        <v>45706</v>
      </c>
      <c r="I176" s="1" t="str">
        <f>TEXT(Table1[[#This Row],[Admission Date]],"MMMM")</f>
        <v>February</v>
      </c>
      <c r="J176">
        <v>1</v>
      </c>
      <c r="K176">
        <v>7615</v>
      </c>
    </row>
    <row r="177" spans="1:11" x14ac:dyDescent="0.3">
      <c r="A177" t="s">
        <v>305</v>
      </c>
      <c r="B177" t="s">
        <v>113</v>
      </c>
      <c r="C177">
        <v>24</v>
      </c>
      <c r="D177" t="s">
        <v>18</v>
      </c>
      <c r="E177" t="s">
        <v>34</v>
      </c>
      <c r="F177" t="s">
        <v>24</v>
      </c>
      <c r="G177" s="1">
        <v>45770</v>
      </c>
      <c r="H177" s="1">
        <v>45776</v>
      </c>
      <c r="I177" s="1" t="str">
        <f>TEXT(Table1[[#This Row],[Admission Date]],"MMMM")</f>
        <v>April</v>
      </c>
      <c r="J177">
        <v>6</v>
      </c>
      <c r="K177">
        <v>51642</v>
      </c>
    </row>
    <row r="178" spans="1:11" x14ac:dyDescent="0.3">
      <c r="A178" t="s">
        <v>306</v>
      </c>
      <c r="B178" t="s">
        <v>307</v>
      </c>
      <c r="C178">
        <v>58</v>
      </c>
      <c r="D178" t="s">
        <v>13</v>
      </c>
      <c r="E178" t="s">
        <v>14</v>
      </c>
      <c r="F178" t="s">
        <v>15</v>
      </c>
      <c r="G178" s="1">
        <v>45839</v>
      </c>
      <c r="H178" s="1">
        <v>45847</v>
      </c>
      <c r="I178" s="1" t="str">
        <f>TEXT(Table1[[#This Row],[Admission Date]],"MMMM")</f>
        <v>July</v>
      </c>
      <c r="J178">
        <v>8</v>
      </c>
      <c r="K178">
        <v>54784</v>
      </c>
    </row>
    <row r="179" spans="1:11" x14ac:dyDescent="0.3">
      <c r="A179" t="s">
        <v>308</v>
      </c>
      <c r="B179" t="s">
        <v>309</v>
      </c>
      <c r="C179">
        <v>6</v>
      </c>
      <c r="D179" t="s">
        <v>13</v>
      </c>
      <c r="E179" t="s">
        <v>103</v>
      </c>
      <c r="F179" t="s">
        <v>35</v>
      </c>
      <c r="G179" s="1">
        <v>45795</v>
      </c>
      <c r="H179" s="1">
        <v>45804</v>
      </c>
      <c r="I179" s="1" t="str">
        <f>TEXT(Table1[[#This Row],[Admission Date]],"MMMM")</f>
        <v>May</v>
      </c>
      <c r="J179">
        <v>9</v>
      </c>
      <c r="K179">
        <v>63108</v>
      </c>
    </row>
    <row r="180" spans="1:11" x14ac:dyDescent="0.3">
      <c r="A180" t="s">
        <v>310</v>
      </c>
      <c r="B180" t="s">
        <v>307</v>
      </c>
      <c r="C180">
        <v>57</v>
      </c>
      <c r="D180" t="s">
        <v>13</v>
      </c>
      <c r="E180" t="s">
        <v>14</v>
      </c>
      <c r="F180" t="s">
        <v>28</v>
      </c>
      <c r="G180" s="1">
        <v>45761</v>
      </c>
      <c r="H180" s="1">
        <v>45774</v>
      </c>
      <c r="I180" s="1" t="str">
        <f>TEXT(Table1[[#This Row],[Admission Date]],"MMMM")</f>
        <v>April</v>
      </c>
      <c r="J180">
        <v>13</v>
      </c>
      <c r="K180">
        <v>117442</v>
      </c>
    </row>
    <row r="181" spans="1:11" x14ac:dyDescent="0.3">
      <c r="A181" t="s">
        <v>311</v>
      </c>
      <c r="B181" t="s">
        <v>298</v>
      </c>
      <c r="C181">
        <v>57</v>
      </c>
      <c r="D181" t="s">
        <v>13</v>
      </c>
      <c r="E181" t="s">
        <v>40</v>
      </c>
      <c r="F181" t="s">
        <v>60</v>
      </c>
      <c r="G181" s="1">
        <v>45751</v>
      </c>
      <c r="H181" s="1">
        <v>45762</v>
      </c>
      <c r="I181" s="1" t="str">
        <f>TEXT(Table1[[#This Row],[Admission Date]],"MMMM")</f>
        <v>April</v>
      </c>
      <c r="J181">
        <v>11</v>
      </c>
      <c r="K181">
        <v>101497</v>
      </c>
    </row>
    <row r="182" spans="1:11" x14ac:dyDescent="0.3">
      <c r="A182" t="s">
        <v>312</v>
      </c>
      <c r="B182" t="s">
        <v>313</v>
      </c>
      <c r="C182">
        <v>64</v>
      </c>
      <c r="D182" t="s">
        <v>13</v>
      </c>
      <c r="E182" t="s">
        <v>23</v>
      </c>
      <c r="F182" t="s">
        <v>63</v>
      </c>
      <c r="G182" s="1">
        <v>45658</v>
      </c>
      <c r="H182" s="1">
        <v>45659</v>
      </c>
      <c r="I182" s="1" t="str">
        <f>TEXT(Table1[[#This Row],[Admission Date]],"MMMM")</f>
        <v>January</v>
      </c>
      <c r="J182">
        <v>1</v>
      </c>
      <c r="K182">
        <v>6285</v>
      </c>
    </row>
    <row r="183" spans="1:11" x14ac:dyDescent="0.3">
      <c r="A183" t="s">
        <v>314</v>
      </c>
      <c r="B183" t="s">
        <v>53</v>
      </c>
      <c r="C183">
        <v>42</v>
      </c>
      <c r="D183" t="s">
        <v>13</v>
      </c>
      <c r="E183" t="s">
        <v>46</v>
      </c>
      <c r="F183" t="s">
        <v>35</v>
      </c>
      <c r="G183" s="1">
        <v>45887</v>
      </c>
      <c r="H183" s="1">
        <v>45889</v>
      </c>
      <c r="I183" s="1" t="str">
        <f>TEXT(Table1[[#This Row],[Admission Date]],"MMMM")</f>
        <v>August</v>
      </c>
      <c r="J183">
        <v>2</v>
      </c>
      <c r="K183">
        <v>21100</v>
      </c>
    </row>
    <row r="184" spans="1:11" x14ac:dyDescent="0.3">
      <c r="A184" t="s">
        <v>315</v>
      </c>
      <c r="B184" t="s">
        <v>39</v>
      </c>
      <c r="C184">
        <v>82</v>
      </c>
      <c r="D184" t="s">
        <v>13</v>
      </c>
      <c r="E184" t="s">
        <v>49</v>
      </c>
      <c r="F184" t="s">
        <v>15</v>
      </c>
      <c r="G184" s="1">
        <v>45682</v>
      </c>
      <c r="H184" s="1">
        <v>45693</v>
      </c>
      <c r="I184" s="1" t="str">
        <f>TEXT(Table1[[#This Row],[Admission Date]],"MMMM")</f>
        <v>January</v>
      </c>
      <c r="J184">
        <v>11</v>
      </c>
      <c r="K184">
        <v>98329</v>
      </c>
    </row>
    <row r="185" spans="1:11" x14ac:dyDescent="0.3">
      <c r="A185" t="s">
        <v>316</v>
      </c>
      <c r="B185" t="s">
        <v>101</v>
      </c>
      <c r="C185">
        <v>90</v>
      </c>
      <c r="D185" t="s">
        <v>13</v>
      </c>
      <c r="E185" t="s">
        <v>34</v>
      </c>
      <c r="F185" t="s">
        <v>28</v>
      </c>
      <c r="G185" s="1">
        <v>45870</v>
      </c>
      <c r="H185" s="1">
        <v>45876</v>
      </c>
      <c r="I185" s="1" t="str">
        <f>TEXT(Table1[[#This Row],[Admission Date]],"MMMM")</f>
        <v>August</v>
      </c>
      <c r="J185">
        <v>6</v>
      </c>
      <c r="K185">
        <v>29844</v>
      </c>
    </row>
    <row r="186" spans="1:11" x14ac:dyDescent="0.3">
      <c r="A186" t="s">
        <v>317</v>
      </c>
      <c r="B186" t="s">
        <v>204</v>
      </c>
      <c r="C186">
        <v>77</v>
      </c>
      <c r="D186" t="s">
        <v>13</v>
      </c>
      <c r="E186" t="s">
        <v>46</v>
      </c>
      <c r="F186" t="s">
        <v>35</v>
      </c>
      <c r="G186" s="1">
        <v>45880</v>
      </c>
      <c r="H186" s="1">
        <v>45895</v>
      </c>
      <c r="I186" s="1" t="str">
        <f>TEXT(Table1[[#This Row],[Admission Date]],"MMMM")</f>
        <v>August</v>
      </c>
      <c r="J186">
        <v>15</v>
      </c>
      <c r="K186">
        <v>68805</v>
      </c>
    </row>
    <row r="187" spans="1:11" x14ac:dyDescent="0.3">
      <c r="A187" t="s">
        <v>318</v>
      </c>
      <c r="B187" t="s">
        <v>248</v>
      </c>
      <c r="C187">
        <v>74</v>
      </c>
      <c r="D187" t="s">
        <v>13</v>
      </c>
      <c r="E187" t="s">
        <v>34</v>
      </c>
      <c r="F187" t="s">
        <v>43</v>
      </c>
      <c r="G187" s="1">
        <v>45771</v>
      </c>
      <c r="H187" s="1">
        <v>45784</v>
      </c>
      <c r="I187" s="1" t="str">
        <f>TEXT(Table1[[#This Row],[Admission Date]],"MMMM")</f>
        <v>April</v>
      </c>
      <c r="J187">
        <v>13</v>
      </c>
      <c r="K187">
        <v>54574</v>
      </c>
    </row>
    <row r="188" spans="1:11" x14ac:dyDescent="0.3">
      <c r="A188" t="s">
        <v>319</v>
      </c>
      <c r="B188" t="s">
        <v>237</v>
      </c>
      <c r="C188">
        <v>53</v>
      </c>
      <c r="D188" t="s">
        <v>13</v>
      </c>
      <c r="E188" t="s">
        <v>31</v>
      </c>
      <c r="F188" t="s">
        <v>24</v>
      </c>
      <c r="G188" s="1">
        <v>45691</v>
      </c>
      <c r="H188" s="1">
        <v>45692</v>
      </c>
      <c r="I188" s="1" t="str">
        <f>TEXT(Table1[[#This Row],[Admission Date]],"MMMM")</f>
        <v>February</v>
      </c>
      <c r="J188">
        <v>1</v>
      </c>
      <c r="K188">
        <v>4553</v>
      </c>
    </row>
    <row r="189" spans="1:11" x14ac:dyDescent="0.3">
      <c r="A189" t="s">
        <v>320</v>
      </c>
      <c r="B189" t="s">
        <v>48</v>
      </c>
      <c r="C189">
        <v>50</v>
      </c>
      <c r="D189" t="s">
        <v>13</v>
      </c>
      <c r="E189" t="s">
        <v>103</v>
      </c>
      <c r="F189" t="s">
        <v>43</v>
      </c>
      <c r="G189" s="1">
        <v>45714</v>
      </c>
      <c r="H189" s="1">
        <v>45722</v>
      </c>
      <c r="I189" s="1" t="str">
        <f>TEXT(Table1[[#This Row],[Admission Date]],"MMMM")</f>
        <v>February</v>
      </c>
      <c r="J189">
        <v>8</v>
      </c>
      <c r="K189">
        <v>90088</v>
      </c>
    </row>
    <row r="190" spans="1:11" x14ac:dyDescent="0.3">
      <c r="A190" t="s">
        <v>321</v>
      </c>
      <c r="B190" t="s">
        <v>22</v>
      </c>
      <c r="C190">
        <v>59</v>
      </c>
      <c r="D190" t="s">
        <v>18</v>
      </c>
      <c r="E190" t="s">
        <v>46</v>
      </c>
      <c r="F190" t="s">
        <v>15</v>
      </c>
      <c r="G190" s="1">
        <v>45785</v>
      </c>
      <c r="H190" s="1">
        <v>45791</v>
      </c>
      <c r="I190" s="1" t="str">
        <f>TEXT(Table1[[#This Row],[Admission Date]],"MMMM")</f>
        <v>May</v>
      </c>
      <c r="J190">
        <v>6</v>
      </c>
      <c r="K190">
        <v>62226</v>
      </c>
    </row>
    <row r="191" spans="1:11" x14ac:dyDescent="0.3">
      <c r="A191" t="s">
        <v>322</v>
      </c>
      <c r="B191" t="s">
        <v>323</v>
      </c>
      <c r="C191">
        <v>78</v>
      </c>
      <c r="D191" t="s">
        <v>18</v>
      </c>
      <c r="E191" t="s">
        <v>34</v>
      </c>
      <c r="F191" t="s">
        <v>20</v>
      </c>
      <c r="G191" s="1">
        <v>46011</v>
      </c>
      <c r="H191" s="1">
        <v>46021</v>
      </c>
      <c r="I191" s="1" t="str">
        <f>TEXT(Table1[[#This Row],[Admission Date]],"MMMM")</f>
        <v>December</v>
      </c>
      <c r="J191">
        <v>10</v>
      </c>
      <c r="K191">
        <v>98910</v>
      </c>
    </row>
    <row r="192" spans="1:11" x14ac:dyDescent="0.3">
      <c r="A192" t="s">
        <v>324</v>
      </c>
      <c r="B192" t="s">
        <v>37</v>
      </c>
      <c r="C192">
        <v>8</v>
      </c>
      <c r="D192" t="s">
        <v>13</v>
      </c>
      <c r="E192" t="s">
        <v>40</v>
      </c>
      <c r="F192" t="s">
        <v>43</v>
      </c>
      <c r="G192" s="1">
        <v>45787</v>
      </c>
      <c r="H192" s="1">
        <v>45789</v>
      </c>
      <c r="I192" s="1" t="str">
        <f>TEXT(Table1[[#This Row],[Admission Date]],"MMMM")</f>
        <v>May</v>
      </c>
      <c r="J192">
        <v>2</v>
      </c>
      <c r="K192">
        <v>17318</v>
      </c>
    </row>
    <row r="193" spans="1:11" x14ac:dyDescent="0.3">
      <c r="A193" t="s">
        <v>325</v>
      </c>
      <c r="B193" t="s">
        <v>326</v>
      </c>
      <c r="C193">
        <v>81</v>
      </c>
      <c r="D193" t="s">
        <v>18</v>
      </c>
      <c r="E193" t="s">
        <v>27</v>
      </c>
      <c r="F193" t="s">
        <v>60</v>
      </c>
      <c r="G193" s="1">
        <v>45985</v>
      </c>
      <c r="H193" s="1">
        <v>45999</v>
      </c>
      <c r="I193" s="1" t="str">
        <f>TEXT(Table1[[#This Row],[Admission Date]],"MMMM")</f>
        <v>November</v>
      </c>
      <c r="J193">
        <v>14</v>
      </c>
      <c r="K193">
        <v>137214</v>
      </c>
    </row>
    <row r="194" spans="1:11" x14ac:dyDescent="0.3">
      <c r="A194" t="s">
        <v>327</v>
      </c>
      <c r="B194" t="s">
        <v>131</v>
      </c>
      <c r="C194">
        <v>42</v>
      </c>
      <c r="D194" t="s">
        <v>13</v>
      </c>
      <c r="E194" t="s">
        <v>14</v>
      </c>
      <c r="F194" t="s">
        <v>63</v>
      </c>
      <c r="G194" s="1">
        <v>45783</v>
      </c>
      <c r="H194" s="1">
        <v>45787</v>
      </c>
      <c r="I194" s="1" t="str">
        <f>TEXT(Table1[[#This Row],[Admission Date]],"MMMM")</f>
        <v>May</v>
      </c>
      <c r="J194">
        <v>4</v>
      </c>
      <c r="K194">
        <v>27892</v>
      </c>
    </row>
    <row r="195" spans="1:11" x14ac:dyDescent="0.3">
      <c r="A195" t="s">
        <v>328</v>
      </c>
      <c r="B195" t="s">
        <v>248</v>
      </c>
      <c r="C195">
        <v>3</v>
      </c>
      <c r="D195" t="s">
        <v>13</v>
      </c>
      <c r="E195" t="s">
        <v>14</v>
      </c>
      <c r="F195" t="s">
        <v>20</v>
      </c>
      <c r="G195" s="1">
        <v>45855</v>
      </c>
      <c r="H195" s="1">
        <v>45864</v>
      </c>
      <c r="I195" s="1" t="str">
        <f>TEXT(Table1[[#This Row],[Admission Date]],"MMMM")</f>
        <v>July</v>
      </c>
      <c r="J195">
        <v>9</v>
      </c>
      <c r="K195">
        <v>105759</v>
      </c>
    </row>
    <row r="196" spans="1:11" x14ac:dyDescent="0.3">
      <c r="A196" t="s">
        <v>329</v>
      </c>
      <c r="B196" t="s">
        <v>37</v>
      </c>
      <c r="C196">
        <v>66</v>
      </c>
      <c r="D196" t="s">
        <v>18</v>
      </c>
      <c r="E196" t="s">
        <v>31</v>
      </c>
      <c r="F196" t="s">
        <v>15</v>
      </c>
      <c r="G196" s="1">
        <v>45896</v>
      </c>
      <c r="H196" s="1">
        <v>45898</v>
      </c>
      <c r="I196" s="1" t="str">
        <f>TEXT(Table1[[#This Row],[Admission Date]],"MMMM")</f>
        <v>August</v>
      </c>
      <c r="J196">
        <v>2</v>
      </c>
      <c r="K196">
        <v>14852</v>
      </c>
    </row>
    <row r="197" spans="1:11" x14ac:dyDescent="0.3">
      <c r="A197" t="s">
        <v>330</v>
      </c>
      <c r="B197" t="s">
        <v>331</v>
      </c>
      <c r="C197">
        <v>50</v>
      </c>
      <c r="D197" t="s">
        <v>18</v>
      </c>
      <c r="E197" t="s">
        <v>49</v>
      </c>
      <c r="F197" t="s">
        <v>35</v>
      </c>
      <c r="G197" s="1">
        <v>45660</v>
      </c>
      <c r="H197" s="1">
        <v>45661</v>
      </c>
      <c r="I197" s="1" t="str">
        <f>TEXT(Table1[[#This Row],[Admission Date]],"MMMM")</f>
        <v>January</v>
      </c>
      <c r="J197">
        <v>1</v>
      </c>
      <c r="K197">
        <v>8781</v>
      </c>
    </row>
    <row r="198" spans="1:11" x14ac:dyDescent="0.3">
      <c r="A198" t="s">
        <v>332</v>
      </c>
      <c r="B198" t="s">
        <v>83</v>
      </c>
      <c r="C198">
        <v>43</v>
      </c>
      <c r="D198" t="s">
        <v>18</v>
      </c>
      <c r="E198" t="s">
        <v>27</v>
      </c>
      <c r="F198" t="s">
        <v>43</v>
      </c>
      <c r="G198" s="1">
        <v>45849</v>
      </c>
      <c r="H198" s="1">
        <v>45852</v>
      </c>
      <c r="I198" s="1" t="str">
        <f>TEXT(Table1[[#This Row],[Admission Date]],"MMMM")</f>
        <v>July</v>
      </c>
      <c r="J198">
        <v>3</v>
      </c>
      <c r="K198">
        <v>25155</v>
      </c>
    </row>
    <row r="199" spans="1:11" x14ac:dyDescent="0.3">
      <c r="A199" t="s">
        <v>333</v>
      </c>
      <c r="B199" t="s">
        <v>313</v>
      </c>
      <c r="C199">
        <v>61</v>
      </c>
      <c r="D199" t="s">
        <v>13</v>
      </c>
      <c r="E199" t="s">
        <v>27</v>
      </c>
      <c r="F199" t="s">
        <v>20</v>
      </c>
      <c r="G199" s="1">
        <v>45901</v>
      </c>
      <c r="H199" s="1">
        <v>45902</v>
      </c>
      <c r="I199" s="1" t="str">
        <f>TEXT(Table1[[#This Row],[Admission Date]],"MMMM")</f>
        <v>September</v>
      </c>
      <c r="J199">
        <v>1</v>
      </c>
      <c r="K199">
        <v>4394</v>
      </c>
    </row>
    <row r="200" spans="1:11" x14ac:dyDescent="0.3">
      <c r="A200" t="s">
        <v>334</v>
      </c>
      <c r="B200" t="s">
        <v>335</v>
      </c>
      <c r="C200">
        <v>17</v>
      </c>
      <c r="D200" t="s">
        <v>18</v>
      </c>
      <c r="E200" t="s">
        <v>40</v>
      </c>
      <c r="F200" t="s">
        <v>24</v>
      </c>
      <c r="G200" s="1">
        <v>45705</v>
      </c>
      <c r="H200" s="1">
        <v>45719</v>
      </c>
      <c r="I200" s="1" t="str">
        <f>TEXT(Table1[[#This Row],[Admission Date]],"MMMM")</f>
        <v>February</v>
      </c>
      <c r="J200">
        <v>14</v>
      </c>
      <c r="K200">
        <v>88060</v>
      </c>
    </row>
    <row r="201" spans="1:11" x14ac:dyDescent="0.3">
      <c r="A201" t="s">
        <v>336</v>
      </c>
      <c r="B201" t="s">
        <v>48</v>
      </c>
      <c r="C201">
        <v>47</v>
      </c>
      <c r="D201" t="s">
        <v>13</v>
      </c>
      <c r="E201" t="s">
        <v>27</v>
      </c>
      <c r="F201" t="s">
        <v>43</v>
      </c>
      <c r="G201" s="1">
        <v>45718</v>
      </c>
      <c r="H201" s="1">
        <v>45724</v>
      </c>
      <c r="I201" s="1" t="str">
        <f>TEXT(Table1[[#This Row],[Admission Date]],"MMMM")</f>
        <v>March</v>
      </c>
      <c r="J201">
        <v>6</v>
      </c>
      <c r="K201">
        <v>64974</v>
      </c>
    </row>
    <row r="202" spans="1:11" x14ac:dyDescent="0.3">
      <c r="A202" t="s">
        <v>337</v>
      </c>
      <c r="B202" t="s">
        <v>248</v>
      </c>
      <c r="C202">
        <v>65</v>
      </c>
      <c r="D202" t="s">
        <v>18</v>
      </c>
      <c r="E202" t="s">
        <v>14</v>
      </c>
      <c r="F202" t="s">
        <v>15</v>
      </c>
      <c r="G202" s="1">
        <v>45752</v>
      </c>
      <c r="H202" s="1">
        <v>45755</v>
      </c>
      <c r="I202" s="1" t="str">
        <f>TEXT(Table1[[#This Row],[Admission Date]],"MMMM")</f>
        <v>April</v>
      </c>
      <c r="J202">
        <v>3</v>
      </c>
      <c r="K202">
        <v>31710</v>
      </c>
    </row>
    <row r="203" spans="1:11" x14ac:dyDescent="0.3">
      <c r="A203" t="s">
        <v>338</v>
      </c>
      <c r="B203" t="s">
        <v>113</v>
      </c>
      <c r="C203">
        <v>6</v>
      </c>
      <c r="D203" t="s">
        <v>18</v>
      </c>
      <c r="E203" t="s">
        <v>14</v>
      </c>
      <c r="F203" t="s">
        <v>60</v>
      </c>
      <c r="G203" s="1">
        <v>45906</v>
      </c>
      <c r="H203" s="1">
        <v>45908</v>
      </c>
      <c r="I203" s="1" t="str">
        <f>TEXT(Table1[[#This Row],[Admission Date]],"MMMM")</f>
        <v>September</v>
      </c>
      <c r="J203">
        <v>2</v>
      </c>
      <c r="K203">
        <v>15488</v>
      </c>
    </row>
    <row r="204" spans="1:11" x14ac:dyDescent="0.3">
      <c r="A204" t="s">
        <v>339</v>
      </c>
      <c r="B204" t="s">
        <v>121</v>
      </c>
      <c r="C204">
        <v>61</v>
      </c>
      <c r="D204" t="s">
        <v>18</v>
      </c>
      <c r="E204" t="s">
        <v>27</v>
      </c>
      <c r="F204" t="s">
        <v>20</v>
      </c>
      <c r="G204" s="1">
        <v>45872</v>
      </c>
      <c r="H204" s="1">
        <v>45879</v>
      </c>
      <c r="I204" s="1" t="str">
        <f>TEXT(Table1[[#This Row],[Admission Date]],"MMMM")</f>
        <v>August</v>
      </c>
      <c r="J204">
        <v>7</v>
      </c>
      <c r="K204">
        <v>45703</v>
      </c>
    </row>
    <row r="205" spans="1:11" x14ac:dyDescent="0.3">
      <c r="A205" t="s">
        <v>340</v>
      </c>
      <c r="B205" t="s">
        <v>124</v>
      </c>
      <c r="C205">
        <v>2</v>
      </c>
      <c r="D205" t="s">
        <v>18</v>
      </c>
      <c r="E205" t="s">
        <v>19</v>
      </c>
      <c r="F205" t="s">
        <v>20</v>
      </c>
      <c r="G205" s="1">
        <v>45904</v>
      </c>
      <c r="H205" s="1">
        <v>45916</v>
      </c>
      <c r="I205" s="1" t="str">
        <f>TEXT(Table1[[#This Row],[Admission Date]],"MMMM")</f>
        <v>September</v>
      </c>
      <c r="J205">
        <v>12</v>
      </c>
      <c r="K205">
        <v>70200</v>
      </c>
    </row>
    <row r="206" spans="1:11" x14ac:dyDescent="0.3">
      <c r="A206" t="s">
        <v>341</v>
      </c>
      <c r="B206" t="s">
        <v>342</v>
      </c>
      <c r="C206">
        <v>46</v>
      </c>
      <c r="D206" t="s">
        <v>13</v>
      </c>
      <c r="E206" t="s">
        <v>49</v>
      </c>
      <c r="F206" t="s">
        <v>63</v>
      </c>
      <c r="G206" s="1">
        <v>45938</v>
      </c>
      <c r="H206" s="1">
        <v>45951</v>
      </c>
      <c r="I206" s="1" t="str">
        <f>TEXT(Table1[[#This Row],[Admission Date]],"MMMM")</f>
        <v>October</v>
      </c>
      <c r="J206">
        <v>13</v>
      </c>
      <c r="K206">
        <v>78728</v>
      </c>
    </row>
    <row r="207" spans="1:11" x14ac:dyDescent="0.3">
      <c r="A207" t="s">
        <v>343</v>
      </c>
      <c r="B207" t="s">
        <v>344</v>
      </c>
      <c r="C207">
        <v>1</v>
      </c>
      <c r="D207" t="s">
        <v>13</v>
      </c>
      <c r="E207" t="s">
        <v>49</v>
      </c>
      <c r="F207" t="s">
        <v>24</v>
      </c>
      <c r="G207" s="1">
        <v>45956</v>
      </c>
      <c r="H207" s="1">
        <v>45969</v>
      </c>
      <c r="I207" s="1" t="str">
        <f>TEXT(Table1[[#This Row],[Admission Date]],"MMMM")</f>
        <v>October</v>
      </c>
      <c r="J207">
        <v>13</v>
      </c>
      <c r="K207">
        <v>153309</v>
      </c>
    </row>
    <row r="208" spans="1:11" x14ac:dyDescent="0.3">
      <c r="A208" t="s">
        <v>345</v>
      </c>
      <c r="B208" t="s">
        <v>346</v>
      </c>
      <c r="C208">
        <v>90</v>
      </c>
      <c r="D208" t="s">
        <v>18</v>
      </c>
      <c r="E208" t="s">
        <v>34</v>
      </c>
      <c r="F208" t="s">
        <v>20</v>
      </c>
      <c r="G208" s="1">
        <v>46021</v>
      </c>
      <c r="H208" s="1">
        <v>46031</v>
      </c>
      <c r="I208" s="1" t="str">
        <f>TEXT(Table1[[#This Row],[Admission Date]],"MMMM")</f>
        <v>December</v>
      </c>
      <c r="J208">
        <v>10</v>
      </c>
      <c r="K208">
        <v>48780</v>
      </c>
    </row>
    <row r="209" spans="1:11" x14ac:dyDescent="0.3">
      <c r="A209" t="s">
        <v>347</v>
      </c>
      <c r="B209" t="s">
        <v>344</v>
      </c>
      <c r="C209">
        <v>32</v>
      </c>
      <c r="D209" t="s">
        <v>18</v>
      </c>
      <c r="E209" t="s">
        <v>23</v>
      </c>
      <c r="F209" t="s">
        <v>35</v>
      </c>
      <c r="G209" s="1">
        <v>45779</v>
      </c>
      <c r="H209" s="1">
        <v>45782</v>
      </c>
      <c r="I209" s="1" t="str">
        <f>TEXT(Table1[[#This Row],[Admission Date]],"MMMM")</f>
        <v>May</v>
      </c>
      <c r="J209">
        <v>3</v>
      </c>
      <c r="K209">
        <v>32331</v>
      </c>
    </row>
    <row r="210" spans="1:11" x14ac:dyDescent="0.3">
      <c r="A210" t="s">
        <v>348</v>
      </c>
      <c r="B210" t="s">
        <v>260</v>
      </c>
      <c r="C210">
        <v>15</v>
      </c>
      <c r="D210" t="s">
        <v>13</v>
      </c>
      <c r="E210" t="s">
        <v>14</v>
      </c>
      <c r="F210" t="s">
        <v>63</v>
      </c>
      <c r="G210" s="1">
        <v>45887</v>
      </c>
      <c r="H210" s="1">
        <v>45888</v>
      </c>
      <c r="I210" s="1" t="str">
        <f>TEXT(Table1[[#This Row],[Admission Date]],"MMMM")</f>
        <v>August</v>
      </c>
      <c r="J210">
        <v>1</v>
      </c>
      <c r="K210">
        <v>4411</v>
      </c>
    </row>
    <row r="211" spans="1:11" x14ac:dyDescent="0.3">
      <c r="A211" t="s">
        <v>349</v>
      </c>
      <c r="B211" t="s">
        <v>210</v>
      </c>
      <c r="C211">
        <v>85</v>
      </c>
      <c r="D211" t="s">
        <v>13</v>
      </c>
      <c r="E211" t="s">
        <v>19</v>
      </c>
      <c r="F211" t="s">
        <v>43</v>
      </c>
      <c r="G211" s="1">
        <v>45878</v>
      </c>
      <c r="H211" s="1">
        <v>45885</v>
      </c>
      <c r="I211" s="1" t="str">
        <f>TEXT(Table1[[#This Row],[Admission Date]],"MMMM")</f>
        <v>August</v>
      </c>
      <c r="J211">
        <v>7</v>
      </c>
      <c r="K211">
        <v>71785</v>
      </c>
    </row>
    <row r="212" spans="1:11" x14ac:dyDescent="0.3">
      <c r="A212" t="s">
        <v>350</v>
      </c>
      <c r="B212" t="s">
        <v>182</v>
      </c>
      <c r="C212">
        <v>58</v>
      </c>
      <c r="D212" t="s">
        <v>18</v>
      </c>
      <c r="E212" t="s">
        <v>34</v>
      </c>
      <c r="F212" t="s">
        <v>20</v>
      </c>
      <c r="G212" s="1">
        <v>45888</v>
      </c>
      <c r="H212" s="1">
        <v>45899</v>
      </c>
      <c r="I212" s="1" t="str">
        <f>TEXT(Table1[[#This Row],[Admission Date]],"MMMM")</f>
        <v>August</v>
      </c>
      <c r="J212">
        <v>11</v>
      </c>
      <c r="K212">
        <v>47817</v>
      </c>
    </row>
    <row r="213" spans="1:11" x14ac:dyDescent="0.3">
      <c r="A213" t="s">
        <v>351</v>
      </c>
      <c r="B213" t="s">
        <v>57</v>
      </c>
      <c r="C213">
        <v>40</v>
      </c>
      <c r="D213" t="s">
        <v>13</v>
      </c>
      <c r="E213" t="s">
        <v>31</v>
      </c>
      <c r="F213" t="s">
        <v>15</v>
      </c>
      <c r="G213" s="1">
        <v>45915</v>
      </c>
      <c r="H213" s="1">
        <v>45921</v>
      </c>
      <c r="I213" s="1" t="str">
        <f>TEXT(Table1[[#This Row],[Admission Date]],"MMMM")</f>
        <v>September</v>
      </c>
      <c r="J213">
        <v>6</v>
      </c>
      <c r="K213">
        <v>33822</v>
      </c>
    </row>
    <row r="214" spans="1:11" x14ac:dyDescent="0.3">
      <c r="A214" t="s">
        <v>352</v>
      </c>
      <c r="B214" t="s">
        <v>12</v>
      </c>
      <c r="C214">
        <v>86</v>
      </c>
      <c r="D214" t="s">
        <v>13</v>
      </c>
      <c r="E214" t="s">
        <v>34</v>
      </c>
      <c r="F214" t="s">
        <v>24</v>
      </c>
      <c r="G214" s="1">
        <v>45924</v>
      </c>
      <c r="H214" s="1">
        <v>45936</v>
      </c>
      <c r="I214" s="1" t="str">
        <f>TEXT(Table1[[#This Row],[Admission Date]],"MMMM")</f>
        <v>September</v>
      </c>
      <c r="J214">
        <v>12</v>
      </c>
      <c r="K214">
        <v>63108</v>
      </c>
    </row>
    <row r="215" spans="1:11" x14ac:dyDescent="0.3">
      <c r="A215" t="s">
        <v>353</v>
      </c>
      <c r="B215" t="s">
        <v>354</v>
      </c>
      <c r="C215">
        <v>56</v>
      </c>
      <c r="D215" t="s">
        <v>18</v>
      </c>
      <c r="E215" t="s">
        <v>23</v>
      </c>
      <c r="F215" t="s">
        <v>24</v>
      </c>
      <c r="G215" s="1">
        <v>45974</v>
      </c>
      <c r="H215" s="1">
        <v>45988</v>
      </c>
      <c r="I215" s="1" t="str">
        <f>TEXT(Table1[[#This Row],[Admission Date]],"MMMM")</f>
        <v>November</v>
      </c>
      <c r="J215">
        <v>14</v>
      </c>
      <c r="K215">
        <v>151760</v>
      </c>
    </row>
    <row r="216" spans="1:11" x14ac:dyDescent="0.3">
      <c r="A216" t="s">
        <v>355</v>
      </c>
      <c r="B216" t="s">
        <v>169</v>
      </c>
      <c r="C216">
        <v>34</v>
      </c>
      <c r="D216" t="s">
        <v>13</v>
      </c>
      <c r="E216" t="s">
        <v>31</v>
      </c>
      <c r="F216" t="s">
        <v>43</v>
      </c>
      <c r="G216" s="1">
        <v>45819</v>
      </c>
      <c r="H216" s="1">
        <v>45834</v>
      </c>
      <c r="I216" s="1" t="str">
        <f>TEXT(Table1[[#This Row],[Admission Date]],"MMMM")</f>
        <v>June</v>
      </c>
      <c r="J216">
        <v>15</v>
      </c>
      <c r="K216">
        <v>93975</v>
      </c>
    </row>
    <row r="217" spans="1:11" x14ac:dyDescent="0.3">
      <c r="A217" t="s">
        <v>356</v>
      </c>
      <c r="B217" t="s">
        <v>298</v>
      </c>
      <c r="C217">
        <v>10</v>
      </c>
      <c r="D217" t="s">
        <v>13</v>
      </c>
      <c r="E217" t="s">
        <v>27</v>
      </c>
      <c r="F217" t="s">
        <v>60</v>
      </c>
      <c r="G217" s="1">
        <v>45765</v>
      </c>
      <c r="H217" s="1">
        <v>45768</v>
      </c>
      <c r="I217" s="1" t="str">
        <f>TEXT(Table1[[#This Row],[Admission Date]],"MMMM")</f>
        <v>April</v>
      </c>
      <c r="J217">
        <v>3</v>
      </c>
      <c r="K217">
        <v>13113</v>
      </c>
    </row>
    <row r="218" spans="1:11" x14ac:dyDescent="0.3">
      <c r="A218" t="s">
        <v>357</v>
      </c>
      <c r="B218" t="s">
        <v>190</v>
      </c>
      <c r="C218">
        <v>45</v>
      </c>
      <c r="D218" t="s">
        <v>18</v>
      </c>
      <c r="E218" t="s">
        <v>27</v>
      </c>
      <c r="F218" t="s">
        <v>35</v>
      </c>
      <c r="G218" s="1">
        <v>45989</v>
      </c>
      <c r="H218" s="1">
        <v>46004</v>
      </c>
      <c r="I218" s="1" t="str">
        <f>TEXT(Table1[[#This Row],[Admission Date]],"MMMM")</f>
        <v>November</v>
      </c>
      <c r="J218">
        <v>15</v>
      </c>
      <c r="K218">
        <v>115785</v>
      </c>
    </row>
    <row r="219" spans="1:11" x14ac:dyDescent="0.3">
      <c r="A219" t="s">
        <v>358</v>
      </c>
      <c r="B219" t="s">
        <v>257</v>
      </c>
      <c r="C219">
        <v>49</v>
      </c>
      <c r="D219" t="s">
        <v>13</v>
      </c>
      <c r="E219" t="s">
        <v>31</v>
      </c>
      <c r="F219" t="s">
        <v>24</v>
      </c>
      <c r="G219" s="1">
        <v>45738</v>
      </c>
      <c r="H219" s="1">
        <v>45739</v>
      </c>
      <c r="I219" s="1" t="str">
        <f>TEXT(Table1[[#This Row],[Admission Date]],"MMMM")</f>
        <v>March</v>
      </c>
      <c r="J219">
        <v>1</v>
      </c>
      <c r="K219">
        <v>11189</v>
      </c>
    </row>
    <row r="220" spans="1:11" x14ac:dyDescent="0.3">
      <c r="A220" t="s">
        <v>359</v>
      </c>
      <c r="B220" t="s">
        <v>131</v>
      </c>
      <c r="C220">
        <v>78</v>
      </c>
      <c r="D220" t="s">
        <v>13</v>
      </c>
      <c r="E220" t="s">
        <v>14</v>
      </c>
      <c r="F220" t="s">
        <v>63</v>
      </c>
      <c r="G220" s="1">
        <v>45921</v>
      </c>
      <c r="H220" s="1">
        <v>45926</v>
      </c>
      <c r="I220" s="1" t="str">
        <f>TEXT(Table1[[#This Row],[Admission Date]],"MMMM")</f>
        <v>September</v>
      </c>
      <c r="J220">
        <v>5</v>
      </c>
      <c r="K220">
        <v>26350</v>
      </c>
    </row>
    <row r="221" spans="1:11" x14ac:dyDescent="0.3">
      <c r="A221" t="s">
        <v>360</v>
      </c>
      <c r="B221" t="s">
        <v>48</v>
      </c>
      <c r="C221">
        <v>7</v>
      </c>
      <c r="D221" t="s">
        <v>13</v>
      </c>
      <c r="E221" t="s">
        <v>40</v>
      </c>
      <c r="F221" t="s">
        <v>63</v>
      </c>
      <c r="G221" s="1">
        <v>45963</v>
      </c>
      <c r="H221" s="1">
        <v>45964</v>
      </c>
      <c r="I221" s="1" t="str">
        <f>TEXT(Table1[[#This Row],[Admission Date]],"MMMM")</f>
        <v>November</v>
      </c>
      <c r="J221">
        <v>1</v>
      </c>
      <c r="K221">
        <v>9122</v>
      </c>
    </row>
    <row r="222" spans="1:11" x14ac:dyDescent="0.3">
      <c r="A222" t="s">
        <v>361</v>
      </c>
      <c r="B222" t="s">
        <v>362</v>
      </c>
      <c r="C222">
        <v>6</v>
      </c>
      <c r="D222" t="s">
        <v>18</v>
      </c>
      <c r="E222" t="s">
        <v>103</v>
      </c>
      <c r="F222" t="s">
        <v>28</v>
      </c>
      <c r="G222" s="1">
        <v>45988</v>
      </c>
      <c r="H222" s="1">
        <v>46001</v>
      </c>
      <c r="I222" s="1" t="str">
        <f>TEXT(Table1[[#This Row],[Admission Date]],"MMMM")</f>
        <v>November</v>
      </c>
      <c r="J222">
        <v>13</v>
      </c>
      <c r="K222">
        <v>142142</v>
      </c>
    </row>
    <row r="223" spans="1:11" x14ac:dyDescent="0.3">
      <c r="A223" t="s">
        <v>363</v>
      </c>
      <c r="B223" t="s">
        <v>87</v>
      </c>
      <c r="C223">
        <v>74</v>
      </c>
      <c r="D223" t="s">
        <v>13</v>
      </c>
      <c r="E223" t="s">
        <v>40</v>
      </c>
      <c r="F223" t="s">
        <v>28</v>
      </c>
      <c r="G223" s="1">
        <v>45760</v>
      </c>
      <c r="H223" s="1">
        <v>45764</v>
      </c>
      <c r="I223" s="1" t="str">
        <f>TEXT(Table1[[#This Row],[Admission Date]],"MMMM")</f>
        <v>April</v>
      </c>
      <c r="J223">
        <v>4</v>
      </c>
      <c r="K223">
        <v>27460</v>
      </c>
    </row>
    <row r="224" spans="1:11" x14ac:dyDescent="0.3">
      <c r="A224" t="s">
        <v>364</v>
      </c>
      <c r="B224" t="s">
        <v>159</v>
      </c>
      <c r="C224">
        <v>64</v>
      </c>
      <c r="D224" t="s">
        <v>18</v>
      </c>
      <c r="E224" t="s">
        <v>103</v>
      </c>
      <c r="F224" t="s">
        <v>15</v>
      </c>
      <c r="G224" s="1">
        <v>45661</v>
      </c>
      <c r="H224" s="1">
        <v>45668</v>
      </c>
      <c r="I224" s="1" t="str">
        <f>TEXT(Table1[[#This Row],[Admission Date]],"MMMM")</f>
        <v>January</v>
      </c>
      <c r="J224">
        <v>7</v>
      </c>
      <c r="K224">
        <v>82474</v>
      </c>
    </row>
    <row r="225" spans="1:11" x14ac:dyDescent="0.3">
      <c r="A225" t="s">
        <v>365</v>
      </c>
      <c r="B225" t="s">
        <v>90</v>
      </c>
      <c r="C225">
        <v>64</v>
      </c>
      <c r="D225" t="s">
        <v>18</v>
      </c>
      <c r="E225" t="s">
        <v>34</v>
      </c>
      <c r="F225" t="s">
        <v>35</v>
      </c>
      <c r="G225" s="1">
        <v>45973</v>
      </c>
      <c r="H225" s="1">
        <v>45987</v>
      </c>
      <c r="I225" s="1" t="str">
        <f>TEXT(Table1[[#This Row],[Admission Date]],"MMMM")</f>
        <v>November</v>
      </c>
      <c r="J225">
        <v>14</v>
      </c>
      <c r="K225">
        <v>165620</v>
      </c>
    </row>
    <row r="226" spans="1:11" x14ac:dyDescent="0.3">
      <c r="A226" t="s">
        <v>366</v>
      </c>
      <c r="B226" t="s">
        <v>367</v>
      </c>
      <c r="C226">
        <v>22</v>
      </c>
      <c r="D226" t="s">
        <v>18</v>
      </c>
      <c r="E226" t="s">
        <v>40</v>
      </c>
      <c r="F226" t="s">
        <v>60</v>
      </c>
      <c r="G226" s="1">
        <v>45861</v>
      </c>
      <c r="H226" s="1">
        <v>45875</v>
      </c>
      <c r="I226" s="1" t="str">
        <f>TEXT(Table1[[#This Row],[Admission Date]],"MMMM")</f>
        <v>July</v>
      </c>
      <c r="J226">
        <v>14</v>
      </c>
      <c r="K226">
        <v>83230</v>
      </c>
    </row>
    <row r="227" spans="1:11" x14ac:dyDescent="0.3">
      <c r="A227" t="s">
        <v>368</v>
      </c>
      <c r="B227" t="s">
        <v>97</v>
      </c>
      <c r="C227">
        <v>81</v>
      </c>
      <c r="D227" t="s">
        <v>18</v>
      </c>
      <c r="E227" t="s">
        <v>34</v>
      </c>
      <c r="F227" t="s">
        <v>20</v>
      </c>
      <c r="G227" s="1">
        <v>45758</v>
      </c>
      <c r="H227" s="1">
        <v>45768</v>
      </c>
      <c r="I227" s="1" t="str">
        <f>TEXT(Table1[[#This Row],[Admission Date]],"MMMM")</f>
        <v>April</v>
      </c>
      <c r="J227">
        <v>10</v>
      </c>
      <c r="K227">
        <v>103650</v>
      </c>
    </row>
    <row r="228" spans="1:11" x14ac:dyDescent="0.3">
      <c r="A228" t="s">
        <v>369</v>
      </c>
      <c r="B228" t="s">
        <v>149</v>
      </c>
      <c r="C228">
        <v>81</v>
      </c>
      <c r="D228" t="s">
        <v>18</v>
      </c>
      <c r="E228" t="s">
        <v>31</v>
      </c>
      <c r="F228" t="s">
        <v>43</v>
      </c>
      <c r="G228" s="1">
        <v>45939</v>
      </c>
      <c r="H228" s="1">
        <v>45946</v>
      </c>
      <c r="I228" s="1" t="str">
        <f>TEXT(Table1[[#This Row],[Admission Date]],"MMMM")</f>
        <v>October</v>
      </c>
      <c r="J228">
        <v>7</v>
      </c>
      <c r="K228">
        <v>45920</v>
      </c>
    </row>
    <row r="229" spans="1:11" x14ac:dyDescent="0.3">
      <c r="A229" t="s">
        <v>370</v>
      </c>
      <c r="B229" t="s">
        <v>298</v>
      </c>
      <c r="C229">
        <v>14</v>
      </c>
      <c r="D229" t="s">
        <v>13</v>
      </c>
      <c r="E229" t="s">
        <v>34</v>
      </c>
      <c r="F229" t="s">
        <v>20</v>
      </c>
      <c r="G229" s="1">
        <v>45716</v>
      </c>
      <c r="H229" s="1">
        <v>45718</v>
      </c>
      <c r="I229" s="1" t="str">
        <f>TEXT(Table1[[#This Row],[Admission Date]],"MMMM")</f>
        <v>February</v>
      </c>
      <c r="J229">
        <v>2</v>
      </c>
      <c r="K229">
        <v>21776</v>
      </c>
    </row>
    <row r="230" spans="1:11" x14ac:dyDescent="0.3">
      <c r="A230" t="s">
        <v>371</v>
      </c>
      <c r="B230" t="s">
        <v>372</v>
      </c>
      <c r="C230">
        <v>38</v>
      </c>
      <c r="D230" t="s">
        <v>18</v>
      </c>
      <c r="E230" t="s">
        <v>103</v>
      </c>
      <c r="F230" t="s">
        <v>20</v>
      </c>
      <c r="G230" s="1">
        <v>45700</v>
      </c>
      <c r="H230" s="1">
        <v>45711</v>
      </c>
      <c r="I230" s="1" t="str">
        <f>TEXT(Table1[[#This Row],[Admission Date]],"MMMM")</f>
        <v>February</v>
      </c>
      <c r="J230">
        <v>11</v>
      </c>
      <c r="K230">
        <v>96107</v>
      </c>
    </row>
    <row r="231" spans="1:11" x14ac:dyDescent="0.3">
      <c r="A231" t="s">
        <v>373</v>
      </c>
      <c r="B231" t="s">
        <v>119</v>
      </c>
      <c r="C231">
        <v>61</v>
      </c>
      <c r="D231" t="s">
        <v>18</v>
      </c>
      <c r="E231" t="s">
        <v>14</v>
      </c>
      <c r="F231" t="s">
        <v>20</v>
      </c>
      <c r="G231" s="1">
        <v>45925</v>
      </c>
      <c r="H231" s="1">
        <v>45933</v>
      </c>
      <c r="I231" s="1" t="str">
        <f>TEXT(Table1[[#This Row],[Admission Date]],"MMMM")</f>
        <v>September</v>
      </c>
      <c r="J231">
        <v>8</v>
      </c>
      <c r="K231">
        <v>35224</v>
      </c>
    </row>
    <row r="232" spans="1:11" x14ac:dyDescent="0.3">
      <c r="A232" t="s">
        <v>374</v>
      </c>
      <c r="B232" t="s">
        <v>284</v>
      </c>
      <c r="C232">
        <v>64</v>
      </c>
      <c r="D232" t="s">
        <v>13</v>
      </c>
      <c r="E232" t="s">
        <v>14</v>
      </c>
      <c r="F232" t="s">
        <v>43</v>
      </c>
      <c r="G232" s="1">
        <v>45806</v>
      </c>
      <c r="H232" s="1">
        <v>45812</v>
      </c>
      <c r="I232" s="1" t="str">
        <f>TEXT(Table1[[#This Row],[Admission Date]],"MMMM")</f>
        <v>May</v>
      </c>
      <c r="J232">
        <v>6</v>
      </c>
      <c r="K232">
        <v>69918</v>
      </c>
    </row>
    <row r="233" spans="1:11" x14ac:dyDescent="0.3">
      <c r="A233" t="s">
        <v>375</v>
      </c>
      <c r="B233" t="s">
        <v>376</v>
      </c>
      <c r="C233">
        <v>74</v>
      </c>
      <c r="D233" t="s">
        <v>18</v>
      </c>
      <c r="E233" t="s">
        <v>23</v>
      </c>
      <c r="F233" t="s">
        <v>15</v>
      </c>
      <c r="G233" s="1">
        <v>45848</v>
      </c>
      <c r="H233" s="1">
        <v>45862</v>
      </c>
      <c r="I233" s="1" t="str">
        <f>TEXT(Table1[[#This Row],[Admission Date]],"MMMM")</f>
        <v>July</v>
      </c>
      <c r="J233">
        <v>14</v>
      </c>
      <c r="K233">
        <v>56126</v>
      </c>
    </row>
    <row r="234" spans="1:11" x14ac:dyDescent="0.3">
      <c r="A234" t="s">
        <v>377</v>
      </c>
      <c r="B234" t="s">
        <v>378</v>
      </c>
      <c r="C234">
        <v>90</v>
      </c>
      <c r="D234" t="s">
        <v>18</v>
      </c>
      <c r="E234" t="s">
        <v>34</v>
      </c>
      <c r="F234" t="s">
        <v>63</v>
      </c>
      <c r="G234" s="1">
        <v>45977</v>
      </c>
      <c r="H234" s="1">
        <v>45984</v>
      </c>
      <c r="I234" s="1" t="str">
        <f>TEXT(Table1[[#This Row],[Admission Date]],"MMMM")</f>
        <v>November</v>
      </c>
      <c r="J234">
        <v>7</v>
      </c>
      <c r="K234">
        <v>49672</v>
      </c>
    </row>
    <row r="235" spans="1:11" x14ac:dyDescent="0.3">
      <c r="A235" t="s">
        <v>379</v>
      </c>
      <c r="B235" t="s">
        <v>380</v>
      </c>
      <c r="C235">
        <v>30</v>
      </c>
      <c r="D235" t="s">
        <v>18</v>
      </c>
      <c r="E235" t="s">
        <v>34</v>
      </c>
      <c r="F235" t="s">
        <v>63</v>
      </c>
      <c r="G235" s="1">
        <v>45780</v>
      </c>
      <c r="H235" s="1">
        <v>45786</v>
      </c>
      <c r="I235" s="1" t="str">
        <f>TEXT(Table1[[#This Row],[Admission Date]],"MMMM")</f>
        <v>May</v>
      </c>
      <c r="J235">
        <v>6</v>
      </c>
      <c r="K235">
        <v>33180</v>
      </c>
    </row>
    <row r="236" spans="1:11" x14ac:dyDescent="0.3">
      <c r="A236" t="s">
        <v>381</v>
      </c>
      <c r="B236" t="s">
        <v>382</v>
      </c>
      <c r="C236">
        <v>82</v>
      </c>
      <c r="D236" t="s">
        <v>13</v>
      </c>
      <c r="E236" t="s">
        <v>19</v>
      </c>
      <c r="F236" t="s">
        <v>15</v>
      </c>
      <c r="G236" s="1">
        <v>45711</v>
      </c>
      <c r="H236" s="1">
        <v>45720</v>
      </c>
      <c r="I236" s="1" t="str">
        <f>TEXT(Table1[[#This Row],[Admission Date]],"MMMM")</f>
        <v>February</v>
      </c>
      <c r="J236">
        <v>9</v>
      </c>
      <c r="K236">
        <v>74727</v>
      </c>
    </row>
    <row r="237" spans="1:11" x14ac:dyDescent="0.3">
      <c r="A237" t="s">
        <v>383</v>
      </c>
      <c r="B237" t="s">
        <v>39</v>
      </c>
      <c r="C237">
        <v>46</v>
      </c>
      <c r="D237" t="s">
        <v>13</v>
      </c>
      <c r="E237" t="s">
        <v>40</v>
      </c>
      <c r="F237" t="s">
        <v>28</v>
      </c>
      <c r="G237" s="1">
        <v>45832</v>
      </c>
      <c r="H237" s="1">
        <v>45845</v>
      </c>
      <c r="I237" s="1" t="str">
        <f>TEXT(Table1[[#This Row],[Admission Date]],"MMMM")</f>
        <v>June</v>
      </c>
      <c r="J237">
        <v>13</v>
      </c>
      <c r="K237">
        <v>101686</v>
      </c>
    </row>
    <row r="238" spans="1:11" x14ac:dyDescent="0.3">
      <c r="A238" t="s">
        <v>384</v>
      </c>
      <c r="B238" t="s">
        <v>268</v>
      </c>
      <c r="C238">
        <v>66</v>
      </c>
      <c r="D238" t="s">
        <v>13</v>
      </c>
      <c r="E238" t="s">
        <v>40</v>
      </c>
      <c r="F238" t="s">
        <v>20</v>
      </c>
      <c r="G238" s="1">
        <v>45897</v>
      </c>
      <c r="H238" s="1">
        <v>45901</v>
      </c>
      <c r="I238" s="1" t="str">
        <f>TEXT(Table1[[#This Row],[Admission Date]],"MMMM")</f>
        <v>August</v>
      </c>
      <c r="J238">
        <v>4</v>
      </c>
      <c r="K238">
        <v>21512</v>
      </c>
    </row>
    <row r="239" spans="1:11" x14ac:dyDescent="0.3">
      <c r="A239" t="s">
        <v>385</v>
      </c>
      <c r="B239" t="s">
        <v>97</v>
      </c>
      <c r="C239">
        <v>78</v>
      </c>
      <c r="D239" t="s">
        <v>13</v>
      </c>
      <c r="E239" t="s">
        <v>14</v>
      </c>
      <c r="F239" t="s">
        <v>20</v>
      </c>
      <c r="G239" s="1">
        <v>45777</v>
      </c>
      <c r="H239" s="1">
        <v>45781</v>
      </c>
      <c r="I239" s="1" t="str">
        <f>TEXT(Table1[[#This Row],[Admission Date]],"MMMM")</f>
        <v>April</v>
      </c>
      <c r="J239">
        <v>4</v>
      </c>
      <c r="K239">
        <v>27220</v>
      </c>
    </row>
    <row r="240" spans="1:11" x14ac:dyDescent="0.3">
      <c r="A240" t="s">
        <v>386</v>
      </c>
      <c r="B240" t="s">
        <v>197</v>
      </c>
      <c r="C240">
        <v>28</v>
      </c>
      <c r="D240" t="s">
        <v>13</v>
      </c>
      <c r="E240" t="s">
        <v>14</v>
      </c>
      <c r="F240" t="s">
        <v>35</v>
      </c>
      <c r="G240" s="1">
        <v>45696</v>
      </c>
      <c r="H240" s="1">
        <v>45702</v>
      </c>
      <c r="I240" s="1" t="str">
        <f>TEXT(Table1[[#This Row],[Admission Date]],"MMMM")</f>
        <v>February</v>
      </c>
      <c r="J240">
        <v>6</v>
      </c>
      <c r="K240">
        <v>31932</v>
      </c>
    </row>
    <row r="241" spans="1:11" x14ac:dyDescent="0.3">
      <c r="A241" t="s">
        <v>387</v>
      </c>
      <c r="B241" t="s">
        <v>105</v>
      </c>
      <c r="C241">
        <v>89</v>
      </c>
      <c r="D241" t="s">
        <v>18</v>
      </c>
      <c r="E241" t="s">
        <v>23</v>
      </c>
      <c r="F241" t="s">
        <v>20</v>
      </c>
      <c r="G241" s="1">
        <v>45767</v>
      </c>
      <c r="H241" s="1">
        <v>45780</v>
      </c>
      <c r="I241" s="1" t="str">
        <f>TEXT(Table1[[#This Row],[Admission Date]],"MMMM")</f>
        <v>April</v>
      </c>
      <c r="J241">
        <v>13</v>
      </c>
      <c r="K241">
        <v>137436</v>
      </c>
    </row>
    <row r="242" spans="1:11" x14ac:dyDescent="0.3">
      <c r="A242" t="s">
        <v>388</v>
      </c>
      <c r="B242" t="s">
        <v>48</v>
      </c>
      <c r="C242">
        <v>6</v>
      </c>
      <c r="D242" t="s">
        <v>13</v>
      </c>
      <c r="E242" t="s">
        <v>103</v>
      </c>
      <c r="F242" t="s">
        <v>60</v>
      </c>
      <c r="G242" s="1">
        <v>45825</v>
      </c>
      <c r="H242" s="1">
        <v>45840</v>
      </c>
      <c r="I242" s="1" t="str">
        <f>TEXT(Table1[[#This Row],[Admission Date]],"MMMM")</f>
        <v>June</v>
      </c>
      <c r="J242">
        <v>15</v>
      </c>
      <c r="K242">
        <v>165075</v>
      </c>
    </row>
    <row r="243" spans="1:11" x14ac:dyDescent="0.3">
      <c r="A243" t="s">
        <v>389</v>
      </c>
      <c r="B243" t="s">
        <v>378</v>
      </c>
      <c r="C243">
        <v>14</v>
      </c>
      <c r="D243" t="s">
        <v>18</v>
      </c>
      <c r="E243" t="s">
        <v>27</v>
      </c>
      <c r="F243" t="s">
        <v>43</v>
      </c>
      <c r="G243" s="1">
        <v>45948</v>
      </c>
      <c r="H243" s="1">
        <v>45951</v>
      </c>
      <c r="I243" s="1" t="str">
        <f>TEXT(Table1[[#This Row],[Admission Date]],"MMMM")</f>
        <v>October</v>
      </c>
      <c r="J243">
        <v>3</v>
      </c>
      <c r="K243">
        <v>34914</v>
      </c>
    </row>
    <row r="244" spans="1:11" x14ac:dyDescent="0.3">
      <c r="A244" t="s">
        <v>390</v>
      </c>
      <c r="B244" t="s">
        <v>391</v>
      </c>
      <c r="C244">
        <v>24</v>
      </c>
      <c r="D244" t="s">
        <v>13</v>
      </c>
      <c r="E244" t="s">
        <v>40</v>
      </c>
      <c r="F244" t="s">
        <v>28</v>
      </c>
      <c r="G244" s="1">
        <v>45840</v>
      </c>
      <c r="H244" s="1">
        <v>45850</v>
      </c>
      <c r="I244" s="1" t="str">
        <f>TEXT(Table1[[#This Row],[Admission Date]],"MMMM")</f>
        <v>July</v>
      </c>
      <c r="J244">
        <v>10</v>
      </c>
      <c r="K244">
        <v>101050</v>
      </c>
    </row>
    <row r="245" spans="1:11" x14ac:dyDescent="0.3">
      <c r="A245" t="s">
        <v>392</v>
      </c>
      <c r="B245" t="s">
        <v>391</v>
      </c>
      <c r="C245">
        <v>21</v>
      </c>
      <c r="D245" t="s">
        <v>13</v>
      </c>
      <c r="E245" t="s">
        <v>49</v>
      </c>
      <c r="F245" t="s">
        <v>20</v>
      </c>
      <c r="G245" s="1">
        <v>45729</v>
      </c>
      <c r="H245" s="1">
        <v>45740</v>
      </c>
      <c r="I245" s="1" t="str">
        <f>TEXT(Table1[[#This Row],[Admission Date]],"MMMM")</f>
        <v>March</v>
      </c>
      <c r="J245">
        <v>11</v>
      </c>
      <c r="K245">
        <v>107470</v>
      </c>
    </row>
    <row r="246" spans="1:11" x14ac:dyDescent="0.3">
      <c r="A246" t="s">
        <v>393</v>
      </c>
      <c r="B246" t="s">
        <v>242</v>
      </c>
      <c r="C246">
        <v>45</v>
      </c>
      <c r="D246" t="s">
        <v>13</v>
      </c>
      <c r="E246" t="s">
        <v>23</v>
      </c>
      <c r="F246" t="s">
        <v>24</v>
      </c>
      <c r="G246" s="1">
        <v>45680</v>
      </c>
      <c r="H246" s="1">
        <v>45686</v>
      </c>
      <c r="I246" s="1" t="str">
        <f>TEXT(Table1[[#This Row],[Admission Date]],"MMMM")</f>
        <v>January</v>
      </c>
      <c r="J246">
        <v>6</v>
      </c>
      <c r="K246">
        <v>69390</v>
      </c>
    </row>
    <row r="247" spans="1:11" x14ac:dyDescent="0.3">
      <c r="A247" t="s">
        <v>394</v>
      </c>
      <c r="B247" t="s">
        <v>395</v>
      </c>
      <c r="C247">
        <v>61</v>
      </c>
      <c r="D247" t="s">
        <v>18</v>
      </c>
      <c r="E247" t="s">
        <v>40</v>
      </c>
      <c r="F247" t="s">
        <v>63</v>
      </c>
      <c r="G247" s="1">
        <v>45816</v>
      </c>
      <c r="H247" s="1">
        <v>45822</v>
      </c>
      <c r="I247" s="1" t="str">
        <f>TEXT(Table1[[#This Row],[Admission Date]],"MMMM")</f>
        <v>June</v>
      </c>
      <c r="J247">
        <v>6</v>
      </c>
      <c r="K247">
        <v>59136</v>
      </c>
    </row>
    <row r="248" spans="1:11" x14ac:dyDescent="0.3">
      <c r="A248" t="s">
        <v>396</v>
      </c>
      <c r="B248" t="s">
        <v>391</v>
      </c>
      <c r="C248">
        <v>60</v>
      </c>
      <c r="D248" t="s">
        <v>18</v>
      </c>
      <c r="E248" t="s">
        <v>14</v>
      </c>
      <c r="F248" t="s">
        <v>20</v>
      </c>
      <c r="G248" s="1">
        <v>45729</v>
      </c>
      <c r="H248" s="1">
        <v>45742</v>
      </c>
      <c r="I248" s="1" t="str">
        <f>TEXT(Table1[[#This Row],[Admission Date]],"MMMM")</f>
        <v>March</v>
      </c>
      <c r="J248">
        <v>13</v>
      </c>
      <c r="K248">
        <v>109642</v>
      </c>
    </row>
    <row r="249" spans="1:11" x14ac:dyDescent="0.3">
      <c r="A249" t="s">
        <v>397</v>
      </c>
      <c r="B249" t="s">
        <v>398</v>
      </c>
      <c r="C249">
        <v>39</v>
      </c>
      <c r="D249" t="s">
        <v>18</v>
      </c>
      <c r="E249" t="s">
        <v>19</v>
      </c>
      <c r="F249" t="s">
        <v>43</v>
      </c>
      <c r="G249" s="1">
        <v>45886</v>
      </c>
      <c r="H249" s="1">
        <v>45898</v>
      </c>
      <c r="I249" s="1" t="str">
        <f>TEXT(Table1[[#This Row],[Admission Date]],"MMMM")</f>
        <v>August</v>
      </c>
      <c r="J249">
        <v>12</v>
      </c>
      <c r="K249">
        <v>132720</v>
      </c>
    </row>
    <row r="250" spans="1:11" x14ac:dyDescent="0.3">
      <c r="A250" t="s">
        <v>399</v>
      </c>
      <c r="B250" t="s">
        <v>242</v>
      </c>
      <c r="C250">
        <v>57</v>
      </c>
      <c r="D250" t="s">
        <v>13</v>
      </c>
      <c r="E250" t="s">
        <v>23</v>
      </c>
      <c r="F250" t="s">
        <v>20</v>
      </c>
      <c r="G250" s="1">
        <v>45761</v>
      </c>
      <c r="H250" s="1">
        <v>45771</v>
      </c>
      <c r="I250" s="1" t="str">
        <f>TEXT(Table1[[#This Row],[Admission Date]],"MMMM")</f>
        <v>April</v>
      </c>
      <c r="J250">
        <v>10</v>
      </c>
      <c r="K250">
        <v>97240</v>
      </c>
    </row>
    <row r="251" spans="1:11" x14ac:dyDescent="0.3">
      <c r="A251" t="s">
        <v>400</v>
      </c>
      <c r="B251" t="s">
        <v>289</v>
      </c>
      <c r="C251">
        <v>69</v>
      </c>
      <c r="D251" t="s">
        <v>13</v>
      </c>
      <c r="E251" t="s">
        <v>46</v>
      </c>
      <c r="F251" t="s">
        <v>28</v>
      </c>
      <c r="G251" s="1">
        <v>45834</v>
      </c>
      <c r="H251" s="1">
        <v>45837</v>
      </c>
      <c r="I251" s="1" t="str">
        <f>TEXT(Table1[[#This Row],[Admission Date]],"MMMM")</f>
        <v>June</v>
      </c>
      <c r="J251">
        <v>3</v>
      </c>
      <c r="K251">
        <v>27390</v>
      </c>
    </row>
    <row r="252" spans="1:11" x14ac:dyDescent="0.3">
      <c r="A252" t="s">
        <v>401</v>
      </c>
      <c r="B252" t="s">
        <v>179</v>
      </c>
      <c r="C252">
        <v>44</v>
      </c>
      <c r="D252" t="s">
        <v>13</v>
      </c>
      <c r="E252" t="s">
        <v>103</v>
      </c>
      <c r="F252" t="s">
        <v>24</v>
      </c>
      <c r="G252" s="1">
        <v>45901</v>
      </c>
      <c r="H252" s="1">
        <v>45906</v>
      </c>
      <c r="I252" s="1" t="str">
        <f>TEXT(Table1[[#This Row],[Admission Date]],"MMMM")</f>
        <v>September</v>
      </c>
      <c r="J252">
        <v>5</v>
      </c>
      <c r="K252">
        <v>52825</v>
      </c>
    </row>
    <row r="253" spans="1:11" x14ac:dyDescent="0.3">
      <c r="A253" t="s">
        <v>402</v>
      </c>
      <c r="B253" t="s">
        <v>159</v>
      </c>
      <c r="C253">
        <v>86</v>
      </c>
      <c r="D253" t="s">
        <v>18</v>
      </c>
      <c r="E253" t="s">
        <v>27</v>
      </c>
      <c r="F253" t="s">
        <v>15</v>
      </c>
      <c r="G253" s="1">
        <v>45871</v>
      </c>
      <c r="H253" s="1">
        <v>45885</v>
      </c>
      <c r="I253" s="1" t="str">
        <f>TEXT(Table1[[#This Row],[Admission Date]],"MMMM")</f>
        <v>August</v>
      </c>
      <c r="J253">
        <v>14</v>
      </c>
      <c r="K253">
        <v>57022</v>
      </c>
    </row>
    <row r="254" spans="1:11" x14ac:dyDescent="0.3">
      <c r="A254" t="s">
        <v>403</v>
      </c>
      <c r="B254" t="s">
        <v>48</v>
      </c>
      <c r="C254">
        <v>18</v>
      </c>
      <c r="D254" t="s">
        <v>18</v>
      </c>
      <c r="E254" t="s">
        <v>34</v>
      </c>
      <c r="F254" t="s">
        <v>28</v>
      </c>
      <c r="G254" s="1">
        <v>45919</v>
      </c>
      <c r="H254" s="1">
        <v>45924</v>
      </c>
      <c r="I254" s="1" t="str">
        <f>TEXT(Table1[[#This Row],[Admission Date]],"MMMM")</f>
        <v>September</v>
      </c>
      <c r="J254">
        <v>5</v>
      </c>
      <c r="K254">
        <v>38235</v>
      </c>
    </row>
    <row r="255" spans="1:11" x14ac:dyDescent="0.3">
      <c r="A255" t="s">
        <v>404</v>
      </c>
      <c r="B255" t="s">
        <v>221</v>
      </c>
      <c r="C255">
        <v>8</v>
      </c>
      <c r="D255" t="s">
        <v>18</v>
      </c>
      <c r="E255" t="s">
        <v>27</v>
      </c>
      <c r="F255" t="s">
        <v>20</v>
      </c>
      <c r="G255" s="1">
        <v>45868</v>
      </c>
      <c r="H255" s="1">
        <v>45877</v>
      </c>
      <c r="I255" s="1" t="str">
        <f>TEXT(Table1[[#This Row],[Admission Date]],"MMMM")</f>
        <v>July</v>
      </c>
      <c r="J255">
        <v>9</v>
      </c>
      <c r="K255">
        <v>81549</v>
      </c>
    </row>
    <row r="256" spans="1:11" x14ac:dyDescent="0.3">
      <c r="A256" t="s">
        <v>405</v>
      </c>
      <c r="B256" t="s">
        <v>239</v>
      </c>
      <c r="C256">
        <v>11</v>
      </c>
      <c r="D256" t="s">
        <v>18</v>
      </c>
      <c r="E256" t="s">
        <v>40</v>
      </c>
      <c r="F256" t="s">
        <v>60</v>
      </c>
      <c r="G256" s="1">
        <v>45794</v>
      </c>
      <c r="H256" s="1">
        <v>45808</v>
      </c>
      <c r="I256" s="1" t="str">
        <f>TEXT(Table1[[#This Row],[Admission Date]],"MMMM")</f>
        <v>May</v>
      </c>
      <c r="J256">
        <v>14</v>
      </c>
      <c r="K256">
        <v>161070</v>
      </c>
    </row>
    <row r="257" spans="1:11" x14ac:dyDescent="0.3">
      <c r="A257" t="s">
        <v>406</v>
      </c>
      <c r="B257" t="s">
        <v>110</v>
      </c>
      <c r="C257">
        <v>61</v>
      </c>
      <c r="D257" t="s">
        <v>18</v>
      </c>
      <c r="E257" t="s">
        <v>46</v>
      </c>
      <c r="F257" t="s">
        <v>35</v>
      </c>
      <c r="G257" s="1">
        <v>45995</v>
      </c>
      <c r="H257" s="1">
        <v>46001</v>
      </c>
      <c r="I257" s="1" t="str">
        <f>TEXT(Table1[[#This Row],[Admission Date]],"MMMM")</f>
        <v>December</v>
      </c>
      <c r="J257">
        <v>6</v>
      </c>
      <c r="K257">
        <v>62268</v>
      </c>
    </row>
    <row r="258" spans="1:11" x14ac:dyDescent="0.3">
      <c r="A258" t="s">
        <v>407</v>
      </c>
      <c r="B258" t="s">
        <v>186</v>
      </c>
      <c r="C258">
        <v>42</v>
      </c>
      <c r="D258" t="s">
        <v>18</v>
      </c>
      <c r="E258" t="s">
        <v>40</v>
      </c>
      <c r="F258" t="s">
        <v>35</v>
      </c>
      <c r="G258" s="1">
        <v>45728</v>
      </c>
      <c r="H258" s="1">
        <v>45731</v>
      </c>
      <c r="I258" s="1" t="str">
        <f>TEXT(Table1[[#This Row],[Admission Date]],"MMMM")</f>
        <v>March</v>
      </c>
      <c r="J258">
        <v>3</v>
      </c>
      <c r="K258">
        <v>35373</v>
      </c>
    </row>
    <row r="259" spans="1:11" x14ac:dyDescent="0.3">
      <c r="A259" t="s">
        <v>408</v>
      </c>
      <c r="B259" t="s">
        <v>344</v>
      </c>
      <c r="C259">
        <v>48</v>
      </c>
      <c r="D259" t="s">
        <v>18</v>
      </c>
      <c r="E259" t="s">
        <v>103</v>
      </c>
      <c r="F259" t="s">
        <v>28</v>
      </c>
      <c r="G259" s="1">
        <v>45699</v>
      </c>
      <c r="H259" s="1">
        <v>45712</v>
      </c>
      <c r="I259" s="1" t="str">
        <f>TEXT(Table1[[#This Row],[Admission Date]],"MMMM")</f>
        <v>February</v>
      </c>
      <c r="J259">
        <v>13</v>
      </c>
      <c r="K259">
        <v>151359</v>
      </c>
    </row>
    <row r="260" spans="1:11" x14ac:dyDescent="0.3">
      <c r="A260" t="s">
        <v>409</v>
      </c>
      <c r="B260" t="s">
        <v>410</v>
      </c>
      <c r="C260">
        <v>73</v>
      </c>
      <c r="D260" t="s">
        <v>18</v>
      </c>
      <c r="E260" t="s">
        <v>34</v>
      </c>
      <c r="F260" t="s">
        <v>35</v>
      </c>
      <c r="G260" s="1">
        <v>45988</v>
      </c>
      <c r="H260" s="1">
        <v>46002</v>
      </c>
      <c r="I260" s="1" t="str">
        <f>TEXT(Table1[[#This Row],[Admission Date]],"MMMM")</f>
        <v>November</v>
      </c>
      <c r="J260">
        <v>14</v>
      </c>
      <c r="K260">
        <v>66234</v>
      </c>
    </row>
    <row r="261" spans="1:11" x14ac:dyDescent="0.3">
      <c r="A261" t="s">
        <v>411</v>
      </c>
      <c r="B261" t="s">
        <v>412</v>
      </c>
      <c r="C261">
        <v>67</v>
      </c>
      <c r="D261" t="s">
        <v>13</v>
      </c>
      <c r="E261" t="s">
        <v>14</v>
      </c>
      <c r="F261" t="s">
        <v>43</v>
      </c>
      <c r="G261" s="1">
        <v>45765</v>
      </c>
      <c r="H261" s="1">
        <v>45766</v>
      </c>
      <c r="I261" s="1" t="str">
        <f>TEXT(Table1[[#This Row],[Admission Date]],"MMMM")</f>
        <v>April</v>
      </c>
      <c r="J261">
        <v>1</v>
      </c>
      <c r="K261">
        <v>10410</v>
      </c>
    </row>
    <row r="262" spans="1:11" x14ac:dyDescent="0.3">
      <c r="A262" t="s">
        <v>413</v>
      </c>
      <c r="B262" t="s">
        <v>149</v>
      </c>
      <c r="C262">
        <v>28</v>
      </c>
      <c r="D262" t="s">
        <v>18</v>
      </c>
      <c r="E262" t="s">
        <v>49</v>
      </c>
      <c r="F262" t="s">
        <v>24</v>
      </c>
      <c r="G262" s="1">
        <v>45685</v>
      </c>
      <c r="H262" s="1">
        <v>45686</v>
      </c>
      <c r="I262" s="1" t="str">
        <f>TEXT(Table1[[#This Row],[Admission Date]],"MMMM")</f>
        <v>January</v>
      </c>
      <c r="J262">
        <v>1</v>
      </c>
      <c r="K262">
        <v>7520</v>
      </c>
    </row>
    <row r="263" spans="1:11" x14ac:dyDescent="0.3">
      <c r="A263" t="s">
        <v>414</v>
      </c>
      <c r="B263" t="s">
        <v>39</v>
      </c>
      <c r="C263">
        <v>9</v>
      </c>
      <c r="D263" t="s">
        <v>18</v>
      </c>
      <c r="E263" t="s">
        <v>40</v>
      </c>
      <c r="F263" t="s">
        <v>63</v>
      </c>
      <c r="G263" s="1">
        <v>45900</v>
      </c>
      <c r="H263" s="1">
        <v>45914</v>
      </c>
      <c r="I263" s="1" t="str">
        <f>TEXT(Table1[[#This Row],[Admission Date]],"MMMM")</f>
        <v>August</v>
      </c>
      <c r="J263">
        <v>14</v>
      </c>
      <c r="K263">
        <v>149870</v>
      </c>
    </row>
    <row r="264" spans="1:11" x14ac:dyDescent="0.3">
      <c r="A264" t="s">
        <v>415</v>
      </c>
      <c r="B264" t="s">
        <v>248</v>
      </c>
      <c r="C264">
        <v>64</v>
      </c>
      <c r="D264" t="s">
        <v>18</v>
      </c>
      <c r="E264" t="s">
        <v>27</v>
      </c>
      <c r="F264" t="s">
        <v>63</v>
      </c>
      <c r="G264" s="1">
        <v>45829</v>
      </c>
      <c r="H264" s="1">
        <v>45835</v>
      </c>
      <c r="I264" s="1" t="str">
        <f>TEXT(Table1[[#This Row],[Admission Date]],"MMMM")</f>
        <v>June</v>
      </c>
      <c r="J264">
        <v>6</v>
      </c>
      <c r="K264">
        <v>29010</v>
      </c>
    </row>
    <row r="265" spans="1:11" x14ac:dyDescent="0.3">
      <c r="A265" t="s">
        <v>416</v>
      </c>
      <c r="B265" t="s">
        <v>204</v>
      </c>
      <c r="C265">
        <v>66</v>
      </c>
      <c r="D265" t="s">
        <v>18</v>
      </c>
      <c r="E265" t="s">
        <v>46</v>
      </c>
      <c r="F265" t="s">
        <v>60</v>
      </c>
      <c r="G265" s="1">
        <v>45743</v>
      </c>
      <c r="H265" s="1">
        <v>45746</v>
      </c>
      <c r="I265" s="1" t="str">
        <f>TEXT(Table1[[#This Row],[Admission Date]],"MMMM")</f>
        <v>March</v>
      </c>
      <c r="J265">
        <v>3</v>
      </c>
      <c r="K265">
        <v>34578</v>
      </c>
    </row>
    <row r="266" spans="1:11" x14ac:dyDescent="0.3">
      <c r="A266" t="s">
        <v>417</v>
      </c>
      <c r="B266" t="s">
        <v>126</v>
      </c>
      <c r="C266">
        <v>55</v>
      </c>
      <c r="D266" t="s">
        <v>18</v>
      </c>
      <c r="E266" t="s">
        <v>19</v>
      </c>
      <c r="F266" t="s">
        <v>63</v>
      </c>
      <c r="G266" s="1">
        <v>45992</v>
      </c>
      <c r="H266" s="1">
        <v>46004</v>
      </c>
      <c r="I266" s="1" t="str">
        <f>TEXT(Table1[[#This Row],[Admission Date]],"MMMM")</f>
        <v>December</v>
      </c>
      <c r="J266">
        <v>12</v>
      </c>
      <c r="K266">
        <v>91668</v>
      </c>
    </row>
    <row r="267" spans="1:11" x14ac:dyDescent="0.3">
      <c r="A267" t="s">
        <v>418</v>
      </c>
      <c r="B267" t="s">
        <v>326</v>
      </c>
      <c r="C267">
        <v>64</v>
      </c>
      <c r="D267" t="s">
        <v>13</v>
      </c>
      <c r="E267" t="s">
        <v>23</v>
      </c>
      <c r="F267" t="s">
        <v>63</v>
      </c>
      <c r="G267" s="1">
        <v>45904</v>
      </c>
      <c r="H267" s="1">
        <v>45917</v>
      </c>
      <c r="I267" s="1" t="str">
        <f>TEXT(Table1[[#This Row],[Admission Date]],"MMMM")</f>
        <v>September</v>
      </c>
      <c r="J267">
        <v>13</v>
      </c>
      <c r="K267">
        <v>153036</v>
      </c>
    </row>
    <row r="268" spans="1:11" x14ac:dyDescent="0.3">
      <c r="A268" t="s">
        <v>419</v>
      </c>
      <c r="B268" t="s">
        <v>420</v>
      </c>
      <c r="C268">
        <v>2</v>
      </c>
      <c r="D268" t="s">
        <v>18</v>
      </c>
      <c r="E268" t="s">
        <v>34</v>
      </c>
      <c r="F268" t="s">
        <v>24</v>
      </c>
      <c r="G268" s="1">
        <v>45751</v>
      </c>
      <c r="H268" s="1">
        <v>45760</v>
      </c>
      <c r="I268" s="1" t="str">
        <f>TEXT(Table1[[#This Row],[Admission Date]],"MMMM")</f>
        <v>April</v>
      </c>
      <c r="J268">
        <v>9</v>
      </c>
      <c r="K268">
        <v>86148</v>
      </c>
    </row>
    <row r="269" spans="1:11" x14ac:dyDescent="0.3">
      <c r="A269" t="s">
        <v>421</v>
      </c>
      <c r="B269" t="s">
        <v>71</v>
      </c>
      <c r="C269">
        <v>18</v>
      </c>
      <c r="D269" t="s">
        <v>18</v>
      </c>
      <c r="E269" t="s">
        <v>46</v>
      </c>
      <c r="F269" t="s">
        <v>15</v>
      </c>
      <c r="G269" s="1">
        <v>45751</v>
      </c>
      <c r="H269" s="1">
        <v>45752</v>
      </c>
      <c r="I269" s="1" t="str">
        <f>TEXT(Table1[[#This Row],[Admission Date]],"MMMM")</f>
        <v>April</v>
      </c>
      <c r="J269">
        <v>1</v>
      </c>
      <c r="K269">
        <v>5434</v>
      </c>
    </row>
    <row r="270" spans="1:11" x14ac:dyDescent="0.3">
      <c r="A270" t="s">
        <v>422</v>
      </c>
      <c r="B270" t="s">
        <v>75</v>
      </c>
      <c r="C270">
        <v>84</v>
      </c>
      <c r="D270" t="s">
        <v>18</v>
      </c>
      <c r="E270" t="s">
        <v>31</v>
      </c>
      <c r="F270" t="s">
        <v>24</v>
      </c>
      <c r="G270" s="1">
        <v>45749</v>
      </c>
      <c r="H270" s="1">
        <v>45757</v>
      </c>
      <c r="I270" s="1" t="str">
        <f>TEXT(Table1[[#This Row],[Admission Date]],"MMMM")</f>
        <v>April</v>
      </c>
      <c r="J270">
        <v>8</v>
      </c>
      <c r="K270">
        <v>74816</v>
      </c>
    </row>
    <row r="271" spans="1:11" x14ac:dyDescent="0.3">
      <c r="A271" t="s">
        <v>423</v>
      </c>
      <c r="B271" t="s">
        <v>179</v>
      </c>
      <c r="C271">
        <v>21</v>
      </c>
      <c r="D271" t="s">
        <v>13</v>
      </c>
      <c r="E271" t="s">
        <v>34</v>
      </c>
      <c r="F271" t="s">
        <v>28</v>
      </c>
      <c r="G271" s="1">
        <v>45999</v>
      </c>
      <c r="H271" s="1">
        <v>46009</v>
      </c>
      <c r="I271" s="1" t="str">
        <f>TEXT(Table1[[#This Row],[Admission Date]],"MMMM")</f>
        <v>December</v>
      </c>
      <c r="J271">
        <v>10</v>
      </c>
      <c r="K271">
        <v>111150</v>
      </c>
    </row>
    <row r="272" spans="1:11" x14ac:dyDescent="0.3">
      <c r="A272" t="s">
        <v>424</v>
      </c>
      <c r="B272" t="s">
        <v>92</v>
      </c>
      <c r="C272">
        <v>21</v>
      </c>
      <c r="D272" t="s">
        <v>18</v>
      </c>
      <c r="E272" t="s">
        <v>34</v>
      </c>
      <c r="F272" t="s">
        <v>60</v>
      </c>
      <c r="G272" s="1">
        <v>45866</v>
      </c>
      <c r="H272" s="1">
        <v>45869</v>
      </c>
      <c r="I272" s="1" t="str">
        <f>TEXT(Table1[[#This Row],[Admission Date]],"MMMM")</f>
        <v>July</v>
      </c>
      <c r="J272">
        <v>3</v>
      </c>
      <c r="K272">
        <v>21246</v>
      </c>
    </row>
    <row r="273" spans="1:11" x14ac:dyDescent="0.3">
      <c r="A273" t="s">
        <v>425</v>
      </c>
      <c r="B273" t="s">
        <v>39</v>
      </c>
      <c r="C273">
        <v>37</v>
      </c>
      <c r="D273" t="s">
        <v>18</v>
      </c>
      <c r="E273" t="s">
        <v>49</v>
      </c>
      <c r="F273" t="s">
        <v>60</v>
      </c>
      <c r="G273" s="1">
        <v>45945</v>
      </c>
      <c r="H273" s="1">
        <v>45953</v>
      </c>
      <c r="I273" s="1" t="str">
        <f>TEXT(Table1[[#This Row],[Admission Date]],"MMMM")</f>
        <v>October</v>
      </c>
      <c r="J273">
        <v>8</v>
      </c>
      <c r="K273">
        <v>61864</v>
      </c>
    </row>
    <row r="274" spans="1:11" x14ac:dyDescent="0.3">
      <c r="A274" t="s">
        <v>426</v>
      </c>
      <c r="B274" t="s">
        <v>427</v>
      </c>
      <c r="C274">
        <v>85</v>
      </c>
      <c r="D274" t="s">
        <v>18</v>
      </c>
      <c r="E274" t="s">
        <v>49</v>
      </c>
      <c r="F274" t="s">
        <v>43</v>
      </c>
      <c r="G274" s="1">
        <v>45880</v>
      </c>
      <c r="H274" s="1">
        <v>45893</v>
      </c>
      <c r="I274" s="1" t="str">
        <f>TEXT(Table1[[#This Row],[Admission Date]],"MMMM")</f>
        <v>August</v>
      </c>
      <c r="J274">
        <v>13</v>
      </c>
      <c r="K274">
        <v>78416</v>
      </c>
    </row>
    <row r="275" spans="1:11" x14ac:dyDescent="0.3">
      <c r="A275" t="s">
        <v>428</v>
      </c>
      <c r="B275" t="s">
        <v>429</v>
      </c>
      <c r="C275">
        <v>75</v>
      </c>
      <c r="D275" t="s">
        <v>13</v>
      </c>
      <c r="E275" t="s">
        <v>103</v>
      </c>
      <c r="F275" t="s">
        <v>43</v>
      </c>
      <c r="G275" s="1">
        <v>45742</v>
      </c>
      <c r="H275" s="1">
        <v>45746</v>
      </c>
      <c r="I275" s="1" t="str">
        <f>TEXT(Table1[[#This Row],[Admission Date]],"MMMM")</f>
        <v>March</v>
      </c>
      <c r="J275">
        <v>4</v>
      </c>
      <c r="K275">
        <v>22480</v>
      </c>
    </row>
    <row r="276" spans="1:11" x14ac:dyDescent="0.3">
      <c r="A276" t="s">
        <v>430</v>
      </c>
      <c r="B276" t="s">
        <v>161</v>
      </c>
      <c r="C276">
        <v>90</v>
      </c>
      <c r="D276" t="s">
        <v>13</v>
      </c>
      <c r="E276" t="s">
        <v>40</v>
      </c>
      <c r="F276" t="s">
        <v>35</v>
      </c>
      <c r="G276" s="1">
        <v>45925</v>
      </c>
      <c r="H276" s="1">
        <v>45927</v>
      </c>
      <c r="I276" s="1" t="str">
        <f>TEXT(Table1[[#This Row],[Admission Date]],"MMMM")</f>
        <v>September</v>
      </c>
      <c r="J276">
        <v>2</v>
      </c>
      <c r="K276">
        <v>22164</v>
      </c>
    </row>
    <row r="277" spans="1:11" x14ac:dyDescent="0.3">
      <c r="A277" t="s">
        <v>431</v>
      </c>
      <c r="B277" t="s">
        <v>432</v>
      </c>
      <c r="C277">
        <v>43</v>
      </c>
      <c r="D277" t="s">
        <v>18</v>
      </c>
      <c r="E277" t="s">
        <v>34</v>
      </c>
      <c r="F277" t="s">
        <v>15</v>
      </c>
      <c r="G277" s="1">
        <v>45684</v>
      </c>
      <c r="H277" s="1">
        <v>45686</v>
      </c>
      <c r="I277" s="1" t="str">
        <f>TEXT(Table1[[#This Row],[Admission Date]],"MMMM")</f>
        <v>January</v>
      </c>
      <c r="J277">
        <v>2</v>
      </c>
      <c r="K277">
        <v>16568</v>
      </c>
    </row>
    <row r="278" spans="1:11" x14ac:dyDescent="0.3">
      <c r="A278" t="s">
        <v>433</v>
      </c>
      <c r="B278" t="s">
        <v>99</v>
      </c>
      <c r="C278">
        <v>19</v>
      </c>
      <c r="D278" t="s">
        <v>18</v>
      </c>
      <c r="E278" t="s">
        <v>34</v>
      </c>
      <c r="F278" t="s">
        <v>20</v>
      </c>
      <c r="G278" s="1">
        <v>45723</v>
      </c>
      <c r="H278" s="1">
        <v>45734</v>
      </c>
      <c r="I278" s="1" t="str">
        <f>TEXT(Table1[[#This Row],[Admission Date]],"MMMM")</f>
        <v>March</v>
      </c>
      <c r="J278">
        <v>11</v>
      </c>
      <c r="K278">
        <v>100496</v>
      </c>
    </row>
    <row r="279" spans="1:11" x14ac:dyDescent="0.3">
      <c r="A279" t="s">
        <v>434</v>
      </c>
      <c r="B279" t="s">
        <v>113</v>
      </c>
      <c r="C279">
        <v>24</v>
      </c>
      <c r="D279" t="s">
        <v>18</v>
      </c>
      <c r="E279" t="s">
        <v>14</v>
      </c>
      <c r="F279" t="s">
        <v>60</v>
      </c>
      <c r="G279" s="1">
        <v>45884</v>
      </c>
      <c r="H279" s="1">
        <v>45894</v>
      </c>
      <c r="I279" s="1" t="str">
        <f>TEXT(Table1[[#This Row],[Admission Date]],"MMMM")</f>
        <v>August</v>
      </c>
      <c r="J279">
        <v>10</v>
      </c>
      <c r="K279">
        <v>63880</v>
      </c>
    </row>
    <row r="280" spans="1:11" x14ac:dyDescent="0.3">
      <c r="A280" t="s">
        <v>435</v>
      </c>
      <c r="B280" t="s">
        <v>436</v>
      </c>
      <c r="C280">
        <v>20</v>
      </c>
      <c r="D280" t="s">
        <v>18</v>
      </c>
      <c r="E280" t="s">
        <v>14</v>
      </c>
      <c r="F280" t="s">
        <v>43</v>
      </c>
      <c r="G280" s="1">
        <v>45941</v>
      </c>
      <c r="H280" s="1">
        <v>45956</v>
      </c>
      <c r="I280" s="1" t="str">
        <f>TEXT(Table1[[#This Row],[Admission Date]],"MMMM")</f>
        <v>October</v>
      </c>
      <c r="J280">
        <v>15</v>
      </c>
      <c r="K280">
        <v>68910</v>
      </c>
    </row>
    <row r="281" spans="1:11" x14ac:dyDescent="0.3">
      <c r="A281" t="s">
        <v>437</v>
      </c>
      <c r="B281" t="s">
        <v>313</v>
      </c>
      <c r="C281">
        <v>82</v>
      </c>
      <c r="D281" t="s">
        <v>18</v>
      </c>
      <c r="E281" t="s">
        <v>40</v>
      </c>
      <c r="F281" t="s">
        <v>43</v>
      </c>
      <c r="G281" s="1">
        <v>45948</v>
      </c>
      <c r="H281" s="1">
        <v>45951</v>
      </c>
      <c r="I281" s="1" t="str">
        <f>TEXT(Table1[[#This Row],[Admission Date]],"MMMM")</f>
        <v>October</v>
      </c>
      <c r="J281">
        <v>3</v>
      </c>
      <c r="K281">
        <v>28596</v>
      </c>
    </row>
    <row r="282" spans="1:11" x14ac:dyDescent="0.3">
      <c r="A282" t="s">
        <v>438</v>
      </c>
      <c r="B282" t="s">
        <v>391</v>
      </c>
      <c r="C282">
        <v>82</v>
      </c>
      <c r="D282" t="s">
        <v>18</v>
      </c>
      <c r="E282" t="s">
        <v>40</v>
      </c>
      <c r="F282" t="s">
        <v>35</v>
      </c>
      <c r="G282" s="1">
        <v>45949</v>
      </c>
      <c r="H282" s="1">
        <v>45953</v>
      </c>
      <c r="I282" s="1" t="str">
        <f>TEXT(Table1[[#This Row],[Admission Date]],"MMMM")</f>
        <v>October</v>
      </c>
      <c r="J282">
        <v>4</v>
      </c>
      <c r="K282">
        <v>19764</v>
      </c>
    </row>
    <row r="283" spans="1:11" x14ac:dyDescent="0.3">
      <c r="A283" t="s">
        <v>439</v>
      </c>
      <c r="B283" t="s">
        <v>48</v>
      </c>
      <c r="C283">
        <v>17</v>
      </c>
      <c r="D283" t="s">
        <v>13</v>
      </c>
      <c r="E283" t="s">
        <v>14</v>
      </c>
      <c r="F283" t="s">
        <v>15</v>
      </c>
      <c r="G283" s="1">
        <v>45922</v>
      </c>
      <c r="H283" s="1">
        <v>45924</v>
      </c>
      <c r="I283" s="1" t="str">
        <f>TEXT(Table1[[#This Row],[Admission Date]],"MMMM")</f>
        <v>September</v>
      </c>
      <c r="J283">
        <v>2</v>
      </c>
      <c r="K283">
        <v>11686</v>
      </c>
    </row>
    <row r="284" spans="1:11" x14ac:dyDescent="0.3">
      <c r="A284" t="s">
        <v>440</v>
      </c>
      <c r="B284" t="s">
        <v>210</v>
      </c>
      <c r="C284">
        <v>88</v>
      </c>
      <c r="D284" t="s">
        <v>18</v>
      </c>
      <c r="E284" t="s">
        <v>19</v>
      </c>
      <c r="F284" t="s">
        <v>20</v>
      </c>
      <c r="G284" s="1">
        <v>45819</v>
      </c>
      <c r="H284" s="1">
        <v>45826</v>
      </c>
      <c r="I284" s="1" t="str">
        <f>TEXT(Table1[[#This Row],[Admission Date]],"MMMM")</f>
        <v>June</v>
      </c>
      <c r="J284">
        <v>7</v>
      </c>
      <c r="K284">
        <v>60060</v>
      </c>
    </row>
    <row r="285" spans="1:11" x14ac:dyDescent="0.3">
      <c r="A285" t="s">
        <v>441</v>
      </c>
      <c r="B285" t="s">
        <v>94</v>
      </c>
      <c r="C285">
        <v>7</v>
      </c>
      <c r="D285" t="s">
        <v>13</v>
      </c>
      <c r="E285" t="s">
        <v>14</v>
      </c>
      <c r="F285" t="s">
        <v>20</v>
      </c>
      <c r="G285" s="1">
        <v>45957</v>
      </c>
      <c r="H285" s="1">
        <v>45964</v>
      </c>
      <c r="I285" s="1" t="str">
        <f>TEXT(Table1[[#This Row],[Admission Date]],"MMMM")</f>
        <v>October</v>
      </c>
      <c r="J285">
        <v>7</v>
      </c>
      <c r="K285">
        <v>43463</v>
      </c>
    </row>
    <row r="286" spans="1:11" x14ac:dyDescent="0.3">
      <c r="A286" t="s">
        <v>442</v>
      </c>
      <c r="B286" t="s">
        <v>90</v>
      </c>
      <c r="C286">
        <v>63</v>
      </c>
      <c r="D286" t="s">
        <v>13</v>
      </c>
      <c r="E286" t="s">
        <v>46</v>
      </c>
      <c r="F286" t="s">
        <v>35</v>
      </c>
      <c r="G286" s="1">
        <v>45772</v>
      </c>
      <c r="H286" s="1">
        <v>45774</v>
      </c>
      <c r="I286" s="1" t="str">
        <f>TEXT(Table1[[#This Row],[Admission Date]],"MMMM")</f>
        <v>April</v>
      </c>
      <c r="J286">
        <v>2</v>
      </c>
      <c r="K286">
        <v>13926</v>
      </c>
    </row>
    <row r="287" spans="1:11" x14ac:dyDescent="0.3">
      <c r="A287" t="s">
        <v>443</v>
      </c>
      <c r="B287" t="s">
        <v>99</v>
      </c>
      <c r="C287">
        <v>25</v>
      </c>
      <c r="D287" t="s">
        <v>18</v>
      </c>
      <c r="E287" t="s">
        <v>103</v>
      </c>
      <c r="F287" t="s">
        <v>20</v>
      </c>
      <c r="G287" s="1">
        <v>45793</v>
      </c>
      <c r="H287" s="1">
        <v>45795</v>
      </c>
      <c r="I287" s="1" t="str">
        <f>TEXT(Table1[[#This Row],[Admission Date]],"MMMM")</f>
        <v>May</v>
      </c>
      <c r="J287">
        <v>2</v>
      </c>
      <c r="K287">
        <v>18698</v>
      </c>
    </row>
    <row r="288" spans="1:11" x14ac:dyDescent="0.3">
      <c r="A288" t="s">
        <v>444</v>
      </c>
      <c r="B288" t="s">
        <v>145</v>
      </c>
      <c r="C288">
        <v>26</v>
      </c>
      <c r="D288" t="s">
        <v>18</v>
      </c>
      <c r="E288" t="s">
        <v>23</v>
      </c>
      <c r="F288" t="s">
        <v>60</v>
      </c>
      <c r="G288" s="1">
        <v>45690</v>
      </c>
      <c r="H288" s="1">
        <v>45695</v>
      </c>
      <c r="I288" s="1" t="str">
        <f>TEXT(Table1[[#This Row],[Admission Date]],"MMMM")</f>
        <v>February</v>
      </c>
      <c r="J288">
        <v>5</v>
      </c>
      <c r="K288">
        <v>41265</v>
      </c>
    </row>
    <row r="289" spans="1:11" x14ac:dyDescent="0.3">
      <c r="A289" t="s">
        <v>445</v>
      </c>
      <c r="B289" t="s">
        <v>446</v>
      </c>
      <c r="C289">
        <v>36</v>
      </c>
      <c r="D289" t="s">
        <v>18</v>
      </c>
      <c r="E289" t="s">
        <v>23</v>
      </c>
      <c r="F289" t="s">
        <v>28</v>
      </c>
      <c r="G289" s="1">
        <v>46005</v>
      </c>
      <c r="H289" s="1">
        <v>46007</v>
      </c>
      <c r="I289" s="1" t="str">
        <f>TEXT(Table1[[#This Row],[Admission Date]],"MMMM")</f>
        <v>December</v>
      </c>
      <c r="J289">
        <v>2</v>
      </c>
      <c r="K289">
        <v>21408</v>
      </c>
    </row>
    <row r="290" spans="1:11" x14ac:dyDescent="0.3">
      <c r="A290" t="s">
        <v>447</v>
      </c>
      <c r="B290" t="s">
        <v>152</v>
      </c>
      <c r="C290">
        <v>43</v>
      </c>
      <c r="D290" t="s">
        <v>18</v>
      </c>
      <c r="E290" t="s">
        <v>49</v>
      </c>
      <c r="F290" t="s">
        <v>15</v>
      </c>
      <c r="G290" s="1">
        <v>45979</v>
      </c>
      <c r="H290" s="1">
        <v>45994</v>
      </c>
      <c r="I290" s="1" t="str">
        <f>TEXT(Table1[[#This Row],[Admission Date]],"MMMM")</f>
        <v>November</v>
      </c>
      <c r="J290">
        <v>15</v>
      </c>
      <c r="K290">
        <v>131895</v>
      </c>
    </row>
    <row r="291" spans="1:11" x14ac:dyDescent="0.3">
      <c r="A291" t="s">
        <v>448</v>
      </c>
      <c r="B291" t="s">
        <v>92</v>
      </c>
      <c r="C291">
        <v>50</v>
      </c>
      <c r="D291" t="s">
        <v>18</v>
      </c>
      <c r="E291" t="s">
        <v>49</v>
      </c>
      <c r="F291" t="s">
        <v>60</v>
      </c>
      <c r="G291" s="1">
        <v>45718</v>
      </c>
      <c r="H291" s="1">
        <v>45725</v>
      </c>
      <c r="I291" s="1" t="str">
        <f>TEXT(Table1[[#This Row],[Admission Date]],"MMMM")</f>
        <v>March</v>
      </c>
      <c r="J291">
        <v>7</v>
      </c>
      <c r="K291">
        <v>52934</v>
      </c>
    </row>
    <row r="292" spans="1:11" x14ac:dyDescent="0.3">
      <c r="A292" t="s">
        <v>449</v>
      </c>
      <c r="B292" t="s">
        <v>265</v>
      </c>
      <c r="C292">
        <v>32</v>
      </c>
      <c r="D292" t="s">
        <v>13</v>
      </c>
      <c r="E292" t="s">
        <v>103</v>
      </c>
      <c r="F292" t="s">
        <v>60</v>
      </c>
      <c r="G292" s="1">
        <v>45903</v>
      </c>
      <c r="H292" s="1">
        <v>45908</v>
      </c>
      <c r="I292" s="1" t="str">
        <f>TEXT(Table1[[#This Row],[Admission Date]],"MMMM")</f>
        <v>September</v>
      </c>
      <c r="J292">
        <v>5</v>
      </c>
      <c r="K292">
        <v>43190</v>
      </c>
    </row>
    <row r="293" spans="1:11" x14ac:dyDescent="0.3">
      <c r="A293" t="s">
        <v>450</v>
      </c>
      <c r="B293" t="s">
        <v>295</v>
      </c>
      <c r="C293">
        <v>14</v>
      </c>
      <c r="D293" t="s">
        <v>18</v>
      </c>
      <c r="E293" t="s">
        <v>31</v>
      </c>
      <c r="F293" t="s">
        <v>15</v>
      </c>
      <c r="G293" s="1">
        <v>45724</v>
      </c>
      <c r="H293" s="1">
        <v>45735</v>
      </c>
      <c r="I293" s="1" t="str">
        <f>TEXT(Table1[[#This Row],[Admission Date]],"MMMM")</f>
        <v>March</v>
      </c>
      <c r="J293">
        <v>11</v>
      </c>
      <c r="K293">
        <v>126005</v>
      </c>
    </row>
    <row r="294" spans="1:11" x14ac:dyDescent="0.3">
      <c r="A294" t="s">
        <v>451</v>
      </c>
      <c r="B294" t="s">
        <v>131</v>
      </c>
      <c r="C294">
        <v>81</v>
      </c>
      <c r="D294" t="s">
        <v>18</v>
      </c>
      <c r="E294" t="s">
        <v>14</v>
      </c>
      <c r="F294" t="s">
        <v>35</v>
      </c>
      <c r="G294" s="1">
        <v>46008</v>
      </c>
      <c r="H294" s="1">
        <v>46020</v>
      </c>
      <c r="I294" s="1" t="str">
        <f>TEXT(Table1[[#This Row],[Admission Date]],"MMMM")</f>
        <v>December</v>
      </c>
      <c r="J294">
        <v>12</v>
      </c>
      <c r="K294">
        <v>61908</v>
      </c>
    </row>
    <row r="295" spans="1:11" x14ac:dyDescent="0.3">
      <c r="A295" t="s">
        <v>452</v>
      </c>
      <c r="B295" t="s">
        <v>51</v>
      </c>
      <c r="C295">
        <v>29</v>
      </c>
      <c r="D295" t="s">
        <v>18</v>
      </c>
      <c r="E295" t="s">
        <v>23</v>
      </c>
      <c r="F295" t="s">
        <v>28</v>
      </c>
      <c r="G295" s="1">
        <v>45703</v>
      </c>
      <c r="H295" s="1">
        <v>45716</v>
      </c>
      <c r="I295" s="1" t="str">
        <f>TEXT(Table1[[#This Row],[Admission Date]],"MMMM")</f>
        <v>February</v>
      </c>
      <c r="J295">
        <v>13</v>
      </c>
      <c r="K295">
        <v>113867</v>
      </c>
    </row>
    <row r="296" spans="1:11" x14ac:dyDescent="0.3">
      <c r="A296" t="s">
        <v>453</v>
      </c>
      <c r="B296" t="s">
        <v>242</v>
      </c>
      <c r="C296">
        <v>53</v>
      </c>
      <c r="D296" t="s">
        <v>18</v>
      </c>
      <c r="E296" t="s">
        <v>31</v>
      </c>
      <c r="F296" t="s">
        <v>43</v>
      </c>
      <c r="G296" s="1">
        <v>45868</v>
      </c>
      <c r="H296" s="1">
        <v>45879</v>
      </c>
      <c r="I296" s="1" t="str">
        <f>TEXT(Table1[[#This Row],[Admission Date]],"MMMM")</f>
        <v>July</v>
      </c>
      <c r="J296">
        <v>11</v>
      </c>
      <c r="K296">
        <v>45375</v>
      </c>
    </row>
    <row r="297" spans="1:11" x14ac:dyDescent="0.3">
      <c r="A297" t="s">
        <v>454</v>
      </c>
      <c r="B297" t="s">
        <v>85</v>
      </c>
      <c r="C297">
        <v>50</v>
      </c>
      <c r="D297" t="s">
        <v>18</v>
      </c>
      <c r="E297" t="s">
        <v>40</v>
      </c>
      <c r="F297" t="s">
        <v>20</v>
      </c>
      <c r="G297" s="1">
        <v>45784</v>
      </c>
      <c r="H297" s="1">
        <v>45798</v>
      </c>
      <c r="I297" s="1" t="str">
        <f>TEXT(Table1[[#This Row],[Admission Date]],"MMMM")</f>
        <v>May</v>
      </c>
      <c r="J297">
        <v>14</v>
      </c>
      <c r="K297">
        <v>84420</v>
      </c>
    </row>
    <row r="298" spans="1:11" x14ac:dyDescent="0.3">
      <c r="A298" t="s">
        <v>455</v>
      </c>
      <c r="B298" t="s">
        <v>456</v>
      </c>
      <c r="C298">
        <v>80</v>
      </c>
      <c r="D298" t="s">
        <v>18</v>
      </c>
      <c r="E298" t="s">
        <v>27</v>
      </c>
      <c r="F298" t="s">
        <v>63</v>
      </c>
      <c r="G298" s="1">
        <v>45875</v>
      </c>
      <c r="H298" s="1">
        <v>45880</v>
      </c>
      <c r="I298" s="1" t="str">
        <f>TEXT(Table1[[#This Row],[Admission Date]],"MMMM")</f>
        <v>August</v>
      </c>
      <c r="J298">
        <v>5</v>
      </c>
      <c r="K298">
        <v>53770</v>
      </c>
    </row>
    <row r="299" spans="1:11" x14ac:dyDescent="0.3">
      <c r="A299" t="s">
        <v>457</v>
      </c>
      <c r="B299" t="s">
        <v>172</v>
      </c>
      <c r="C299">
        <v>54</v>
      </c>
      <c r="D299" t="s">
        <v>18</v>
      </c>
      <c r="E299" t="s">
        <v>27</v>
      </c>
      <c r="F299" t="s">
        <v>60</v>
      </c>
      <c r="G299" s="1">
        <v>45816</v>
      </c>
      <c r="H299" s="1">
        <v>45822</v>
      </c>
      <c r="I299" s="1" t="str">
        <f>TEXT(Table1[[#This Row],[Admission Date]],"MMMM")</f>
        <v>June</v>
      </c>
      <c r="J299">
        <v>6</v>
      </c>
      <c r="K299">
        <v>48774</v>
      </c>
    </row>
    <row r="300" spans="1:11" x14ac:dyDescent="0.3">
      <c r="A300" t="s">
        <v>458</v>
      </c>
      <c r="B300" t="s">
        <v>391</v>
      </c>
      <c r="C300">
        <v>76</v>
      </c>
      <c r="D300" t="s">
        <v>13</v>
      </c>
      <c r="E300" t="s">
        <v>49</v>
      </c>
      <c r="F300" t="s">
        <v>15</v>
      </c>
      <c r="G300" s="1">
        <v>45967</v>
      </c>
      <c r="H300" s="1">
        <v>45968</v>
      </c>
      <c r="I300" s="1" t="str">
        <f>TEXT(Table1[[#This Row],[Admission Date]],"MMMM")</f>
        <v>November</v>
      </c>
      <c r="J300">
        <v>1</v>
      </c>
      <c r="K300">
        <v>11309</v>
      </c>
    </row>
    <row r="301" spans="1:11" x14ac:dyDescent="0.3">
      <c r="A301" t="s">
        <v>459</v>
      </c>
      <c r="B301" t="s">
        <v>37</v>
      </c>
      <c r="C301">
        <v>37</v>
      </c>
      <c r="D301" t="s">
        <v>18</v>
      </c>
      <c r="E301" t="s">
        <v>49</v>
      </c>
      <c r="F301" t="s">
        <v>60</v>
      </c>
      <c r="G301" s="1">
        <v>45914</v>
      </c>
      <c r="H301" s="1">
        <v>45923</v>
      </c>
      <c r="I301" s="1" t="str">
        <f>TEXT(Table1[[#This Row],[Admission Date]],"MMMM")</f>
        <v>September</v>
      </c>
      <c r="J301">
        <v>9</v>
      </c>
      <c r="K301">
        <v>93888</v>
      </c>
    </row>
    <row r="302" spans="1:11" x14ac:dyDescent="0.3">
      <c r="A302" t="s">
        <v>460</v>
      </c>
      <c r="B302" t="s">
        <v>128</v>
      </c>
      <c r="C302">
        <v>50</v>
      </c>
      <c r="D302" t="s">
        <v>13</v>
      </c>
      <c r="E302" t="s">
        <v>19</v>
      </c>
      <c r="F302" t="s">
        <v>20</v>
      </c>
      <c r="G302" s="1">
        <v>45749</v>
      </c>
      <c r="H302" s="1">
        <v>45754</v>
      </c>
      <c r="I302" s="1" t="str">
        <f>TEXT(Table1[[#This Row],[Admission Date]],"MMMM")</f>
        <v>April</v>
      </c>
      <c r="J302">
        <v>5</v>
      </c>
      <c r="K302">
        <v>26255</v>
      </c>
    </row>
    <row r="303" spans="1:11" x14ac:dyDescent="0.3">
      <c r="A303" t="s">
        <v>461</v>
      </c>
      <c r="B303" t="s">
        <v>462</v>
      </c>
      <c r="C303">
        <v>62</v>
      </c>
      <c r="D303" t="s">
        <v>13</v>
      </c>
      <c r="E303" t="s">
        <v>46</v>
      </c>
      <c r="F303" t="s">
        <v>63</v>
      </c>
      <c r="G303" s="1">
        <v>45778</v>
      </c>
      <c r="H303" s="1">
        <v>45788</v>
      </c>
      <c r="I303" s="1" t="str">
        <f>TEXT(Table1[[#This Row],[Admission Date]],"MMMM")</f>
        <v>May</v>
      </c>
      <c r="J303">
        <v>10</v>
      </c>
      <c r="K303">
        <v>75890</v>
      </c>
    </row>
    <row r="304" spans="1:11" x14ac:dyDescent="0.3">
      <c r="A304" t="s">
        <v>463</v>
      </c>
      <c r="B304" t="s">
        <v>172</v>
      </c>
      <c r="C304">
        <v>42</v>
      </c>
      <c r="D304" t="s">
        <v>18</v>
      </c>
      <c r="E304" t="s">
        <v>46</v>
      </c>
      <c r="F304" t="s">
        <v>60</v>
      </c>
      <c r="G304" s="1">
        <v>45915</v>
      </c>
      <c r="H304" s="1">
        <v>45928</v>
      </c>
      <c r="I304" s="1" t="str">
        <f>TEXT(Table1[[#This Row],[Admission Date]],"MMMM")</f>
        <v>September</v>
      </c>
      <c r="J304">
        <v>13</v>
      </c>
      <c r="K304">
        <v>75790</v>
      </c>
    </row>
    <row r="305" spans="1:11" x14ac:dyDescent="0.3">
      <c r="A305" t="s">
        <v>464</v>
      </c>
      <c r="B305" t="s">
        <v>465</v>
      </c>
      <c r="C305">
        <v>81</v>
      </c>
      <c r="D305" t="s">
        <v>18</v>
      </c>
      <c r="E305" t="s">
        <v>34</v>
      </c>
      <c r="F305" t="s">
        <v>63</v>
      </c>
      <c r="G305" s="1">
        <v>45912</v>
      </c>
      <c r="H305" s="1">
        <v>45920</v>
      </c>
      <c r="I305" s="1" t="str">
        <f>TEXT(Table1[[#This Row],[Admission Date]],"MMMM")</f>
        <v>September</v>
      </c>
      <c r="J305">
        <v>8</v>
      </c>
      <c r="K305">
        <v>86704</v>
      </c>
    </row>
    <row r="306" spans="1:11" x14ac:dyDescent="0.3">
      <c r="A306" t="s">
        <v>466</v>
      </c>
      <c r="B306" t="s">
        <v>145</v>
      </c>
      <c r="C306">
        <v>67</v>
      </c>
      <c r="D306" t="s">
        <v>18</v>
      </c>
      <c r="E306" t="s">
        <v>34</v>
      </c>
      <c r="F306" t="s">
        <v>15</v>
      </c>
      <c r="G306" s="1">
        <v>45661</v>
      </c>
      <c r="H306" s="1">
        <v>45671</v>
      </c>
      <c r="I306" s="1" t="str">
        <f>TEXT(Table1[[#This Row],[Admission Date]],"MMMM")</f>
        <v>January</v>
      </c>
      <c r="J306">
        <v>10</v>
      </c>
      <c r="K306">
        <v>81200</v>
      </c>
    </row>
    <row r="307" spans="1:11" x14ac:dyDescent="0.3">
      <c r="A307" t="s">
        <v>467</v>
      </c>
      <c r="B307" t="s">
        <v>468</v>
      </c>
      <c r="C307">
        <v>71</v>
      </c>
      <c r="D307" t="s">
        <v>13</v>
      </c>
      <c r="E307" t="s">
        <v>27</v>
      </c>
      <c r="F307" t="s">
        <v>28</v>
      </c>
      <c r="G307" s="1">
        <v>45957</v>
      </c>
      <c r="H307" s="1">
        <v>45969</v>
      </c>
      <c r="I307" s="1" t="str">
        <f>TEXT(Table1[[#This Row],[Admission Date]],"MMMM")</f>
        <v>October</v>
      </c>
      <c r="J307">
        <v>12</v>
      </c>
      <c r="K307">
        <v>74208</v>
      </c>
    </row>
    <row r="308" spans="1:11" x14ac:dyDescent="0.3">
      <c r="A308" t="s">
        <v>469</v>
      </c>
      <c r="B308" t="s">
        <v>83</v>
      </c>
      <c r="C308">
        <v>83</v>
      </c>
      <c r="D308" t="s">
        <v>13</v>
      </c>
      <c r="E308" t="s">
        <v>23</v>
      </c>
      <c r="F308" t="s">
        <v>35</v>
      </c>
      <c r="G308" s="1">
        <v>45774</v>
      </c>
      <c r="H308" s="1">
        <v>45786</v>
      </c>
      <c r="I308" s="1" t="str">
        <f>TEXT(Table1[[#This Row],[Admission Date]],"MMMM")</f>
        <v>April</v>
      </c>
      <c r="J308">
        <v>12</v>
      </c>
      <c r="K308">
        <v>48912</v>
      </c>
    </row>
    <row r="309" spans="1:11" x14ac:dyDescent="0.3">
      <c r="A309" t="s">
        <v>470</v>
      </c>
      <c r="B309" t="s">
        <v>260</v>
      </c>
      <c r="C309">
        <v>65</v>
      </c>
      <c r="D309" t="s">
        <v>13</v>
      </c>
      <c r="E309" t="s">
        <v>40</v>
      </c>
      <c r="F309" t="s">
        <v>20</v>
      </c>
      <c r="G309" s="1">
        <v>45905</v>
      </c>
      <c r="H309" s="1">
        <v>45907</v>
      </c>
      <c r="I309" s="1" t="str">
        <f>TEXT(Table1[[#This Row],[Admission Date]],"MMMM")</f>
        <v>September</v>
      </c>
      <c r="J309">
        <v>2</v>
      </c>
      <c r="K309">
        <v>13186</v>
      </c>
    </row>
    <row r="310" spans="1:11" x14ac:dyDescent="0.3">
      <c r="A310" t="s">
        <v>471</v>
      </c>
      <c r="B310" t="s">
        <v>472</v>
      </c>
      <c r="C310">
        <v>71</v>
      </c>
      <c r="D310" t="s">
        <v>13</v>
      </c>
      <c r="E310" t="s">
        <v>14</v>
      </c>
      <c r="F310" t="s">
        <v>24</v>
      </c>
      <c r="G310" s="1">
        <v>45991</v>
      </c>
      <c r="H310" s="1">
        <v>46004</v>
      </c>
      <c r="I310" s="1" t="str">
        <f>TEXT(Table1[[#This Row],[Admission Date]],"MMMM")</f>
        <v>November</v>
      </c>
      <c r="J310">
        <v>13</v>
      </c>
      <c r="K310">
        <v>61451</v>
      </c>
    </row>
    <row r="311" spans="1:11" x14ac:dyDescent="0.3">
      <c r="A311" t="s">
        <v>473</v>
      </c>
      <c r="B311" t="s">
        <v>30</v>
      </c>
      <c r="C311">
        <v>81</v>
      </c>
      <c r="D311" t="s">
        <v>13</v>
      </c>
      <c r="E311" t="s">
        <v>27</v>
      </c>
      <c r="F311" t="s">
        <v>43</v>
      </c>
      <c r="G311" s="1">
        <v>45731</v>
      </c>
      <c r="H311" s="1">
        <v>45737</v>
      </c>
      <c r="I311" s="1" t="str">
        <f>TEXT(Table1[[#This Row],[Admission Date]],"MMMM")</f>
        <v>March</v>
      </c>
      <c r="J311">
        <v>6</v>
      </c>
      <c r="K311">
        <v>69762</v>
      </c>
    </row>
    <row r="312" spans="1:11" x14ac:dyDescent="0.3">
      <c r="A312" t="s">
        <v>474</v>
      </c>
      <c r="B312" t="s">
        <v>378</v>
      </c>
      <c r="C312">
        <v>39</v>
      </c>
      <c r="D312" t="s">
        <v>18</v>
      </c>
      <c r="E312" t="s">
        <v>49</v>
      </c>
      <c r="F312" t="s">
        <v>20</v>
      </c>
      <c r="G312" s="1">
        <v>45738</v>
      </c>
      <c r="H312" s="1">
        <v>45749</v>
      </c>
      <c r="I312" s="1" t="str">
        <f>TEXT(Table1[[#This Row],[Admission Date]],"MMMM")</f>
        <v>March</v>
      </c>
      <c r="J312">
        <v>11</v>
      </c>
      <c r="K312">
        <v>71610</v>
      </c>
    </row>
    <row r="313" spans="1:11" x14ac:dyDescent="0.3">
      <c r="A313" t="s">
        <v>475</v>
      </c>
      <c r="B313" t="s">
        <v>476</v>
      </c>
      <c r="C313">
        <v>14</v>
      </c>
      <c r="D313" t="s">
        <v>13</v>
      </c>
      <c r="E313" t="s">
        <v>103</v>
      </c>
      <c r="F313" t="s">
        <v>43</v>
      </c>
      <c r="G313" s="1">
        <v>45853</v>
      </c>
      <c r="H313" s="1">
        <v>45862</v>
      </c>
      <c r="I313" s="1" t="str">
        <f>TEXT(Table1[[#This Row],[Admission Date]],"MMMM")</f>
        <v>July</v>
      </c>
      <c r="J313">
        <v>9</v>
      </c>
      <c r="K313">
        <v>49392</v>
      </c>
    </row>
    <row r="314" spans="1:11" x14ac:dyDescent="0.3">
      <c r="A314" t="s">
        <v>477</v>
      </c>
      <c r="B314" t="s">
        <v>192</v>
      </c>
      <c r="C314">
        <v>40</v>
      </c>
      <c r="D314" t="s">
        <v>13</v>
      </c>
      <c r="E314" t="s">
        <v>34</v>
      </c>
      <c r="F314" t="s">
        <v>20</v>
      </c>
      <c r="G314" s="1">
        <v>45840</v>
      </c>
      <c r="H314" s="1">
        <v>45843</v>
      </c>
      <c r="I314" s="1" t="str">
        <f>TEXT(Table1[[#This Row],[Admission Date]],"MMMM")</f>
        <v>July</v>
      </c>
      <c r="J314">
        <v>3</v>
      </c>
      <c r="K314">
        <v>18513</v>
      </c>
    </row>
    <row r="315" spans="1:11" x14ac:dyDescent="0.3">
      <c r="A315" t="s">
        <v>478</v>
      </c>
      <c r="B315" t="s">
        <v>210</v>
      </c>
      <c r="C315">
        <v>11</v>
      </c>
      <c r="D315" t="s">
        <v>13</v>
      </c>
      <c r="E315" t="s">
        <v>46</v>
      </c>
      <c r="F315" t="s">
        <v>15</v>
      </c>
      <c r="G315" s="1">
        <v>45743</v>
      </c>
      <c r="H315" s="1">
        <v>45757</v>
      </c>
      <c r="I315" s="1" t="str">
        <f>TEXT(Table1[[#This Row],[Admission Date]],"MMMM")</f>
        <v>March</v>
      </c>
      <c r="J315">
        <v>14</v>
      </c>
      <c r="K315">
        <v>108262</v>
      </c>
    </row>
    <row r="316" spans="1:11" x14ac:dyDescent="0.3">
      <c r="A316" t="s">
        <v>479</v>
      </c>
      <c r="B316" t="s">
        <v>105</v>
      </c>
      <c r="C316">
        <v>21</v>
      </c>
      <c r="D316" t="s">
        <v>13</v>
      </c>
      <c r="E316" t="s">
        <v>31</v>
      </c>
      <c r="F316" t="s">
        <v>20</v>
      </c>
      <c r="G316" s="1">
        <v>45879</v>
      </c>
      <c r="H316" s="1">
        <v>45890</v>
      </c>
      <c r="I316" s="1" t="str">
        <f>TEXT(Table1[[#This Row],[Admission Date]],"MMMM")</f>
        <v>August</v>
      </c>
      <c r="J316">
        <v>11</v>
      </c>
      <c r="K316">
        <v>116171</v>
      </c>
    </row>
    <row r="317" spans="1:11" x14ac:dyDescent="0.3">
      <c r="A317" t="s">
        <v>480</v>
      </c>
      <c r="B317" t="s">
        <v>147</v>
      </c>
      <c r="C317">
        <v>46</v>
      </c>
      <c r="D317" t="s">
        <v>18</v>
      </c>
      <c r="E317" t="s">
        <v>103</v>
      </c>
      <c r="F317" t="s">
        <v>20</v>
      </c>
      <c r="G317" s="1">
        <v>45865</v>
      </c>
      <c r="H317" s="1">
        <v>45876</v>
      </c>
      <c r="I317" s="1" t="str">
        <f>TEXT(Table1[[#This Row],[Admission Date]],"MMMM")</f>
        <v>July</v>
      </c>
      <c r="J317">
        <v>11</v>
      </c>
      <c r="K317">
        <v>110165</v>
      </c>
    </row>
    <row r="318" spans="1:11" x14ac:dyDescent="0.3">
      <c r="A318" t="s">
        <v>481</v>
      </c>
      <c r="B318" t="s">
        <v>482</v>
      </c>
      <c r="C318">
        <v>66</v>
      </c>
      <c r="D318" t="s">
        <v>13</v>
      </c>
      <c r="E318" t="s">
        <v>14</v>
      </c>
      <c r="F318" t="s">
        <v>15</v>
      </c>
      <c r="G318" s="1">
        <v>45913</v>
      </c>
      <c r="H318" s="1">
        <v>45924</v>
      </c>
      <c r="I318" s="1" t="str">
        <f>TEXT(Table1[[#This Row],[Admission Date]],"MMMM")</f>
        <v>September</v>
      </c>
      <c r="J318">
        <v>11</v>
      </c>
      <c r="K318">
        <v>92202</v>
      </c>
    </row>
    <row r="319" spans="1:11" x14ac:dyDescent="0.3">
      <c r="A319" t="s">
        <v>483</v>
      </c>
      <c r="B319" t="s">
        <v>429</v>
      </c>
      <c r="C319">
        <v>48</v>
      </c>
      <c r="D319" t="s">
        <v>18</v>
      </c>
      <c r="E319" t="s">
        <v>31</v>
      </c>
      <c r="F319" t="s">
        <v>43</v>
      </c>
      <c r="G319" s="1">
        <v>45858</v>
      </c>
      <c r="H319" s="1">
        <v>45861</v>
      </c>
      <c r="I319" s="1" t="str">
        <f>TEXT(Table1[[#This Row],[Admission Date]],"MMMM")</f>
        <v>July</v>
      </c>
      <c r="J319">
        <v>3</v>
      </c>
      <c r="K319">
        <v>13854</v>
      </c>
    </row>
    <row r="320" spans="1:11" x14ac:dyDescent="0.3">
      <c r="A320" t="s">
        <v>484</v>
      </c>
      <c r="B320" t="s">
        <v>485</v>
      </c>
      <c r="C320">
        <v>9</v>
      </c>
      <c r="D320" t="s">
        <v>18</v>
      </c>
      <c r="E320" t="s">
        <v>46</v>
      </c>
      <c r="F320" t="s">
        <v>60</v>
      </c>
      <c r="G320" s="1">
        <v>45918</v>
      </c>
      <c r="H320" s="1">
        <v>45922</v>
      </c>
      <c r="I320" s="1" t="str">
        <f>TEXT(Table1[[#This Row],[Admission Date]],"MMMM")</f>
        <v>September</v>
      </c>
      <c r="J320">
        <v>4</v>
      </c>
      <c r="K320">
        <v>40136</v>
      </c>
    </row>
    <row r="321" spans="1:11" x14ac:dyDescent="0.3">
      <c r="A321" t="s">
        <v>486</v>
      </c>
      <c r="B321" t="s">
        <v>410</v>
      </c>
      <c r="C321">
        <v>74</v>
      </c>
      <c r="D321" t="s">
        <v>13</v>
      </c>
      <c r="E321" t="s">
        <v>27</v>
      </c>
      <c r="F321" t="s">
        <v>35</v>
      </c>
      <c r="G321" s="1">
        <v>45691</v>
      </c>
      <c r="H321" s="1">
        <v>45693</v>
      </c>
      <c r="I321" s="1" t="str">
        <f>TEXT(Table1[[#This Row],[Admission Date]],"MMMM")</f>
        <v>February</v>
      </c>
      <c r="J321">
        <v>2</v>
      </c>
      <c r="K321">
        <v>17708</v>
      </c>
    </row>
    <row r="322" spans="1:11" x14ac:dyDescent="0.3">
      <c r="A322" t="s">
        <v>487</v>
      </c>
      <c r="B322" t="s">
        <v>465</v>
      </c>
      <c r="C322">
        <v>39</v>
      </c>
      <c r="D322" t="s">
        <v>13</v>
      </c>
      <c r="E322" t="s">
        <v>46</v>
      </c>
      <c r="F322" t="s">
        <v>20</v>
      </c>
      <c r="G322" s="1">
        <v>45795</v>
      </c>
      <c r="H322" s="1">
        <v>45808</v>
      </c>
      <c r="I322" s="1" t="str">
        <f>TEXT(Table1[[#This Row],[Admission Date]],"MMMM")</f>
        <v>May</v>
      </c>
      <c r="J322">
        <v>13</v>
      </c>
      <c r="K322">
        <v>132340</v>
      </c>
    </row>
    <row r="323" spans="1:11" x14ac:dyDescent="0.3">
      <c r="A323" t="s">
        <v>488</v>
      </c>
      <c r="B323" t="s">
        <v>48</v>
      </c>
      <c r="C323">
        <v>12</v>
      </c>
      <c r="D323" t="s">
        <v>13</v>
      </c>
      <c r="E323" t="s">
        <v>46</v>
      </c>
      <c r="F323" t="s">
        <v>28</v>
      </c>
      <c r="G323" s="1">
        <v>45663</v>
      </c>
      <c r="H323" s="1">
        <v>45671</v>
      </c>
      <c r="I323" s="1" t="str">
        <f>TEXT(Table1[[#This Row],[Admission Date]],"MMMM")</f>
        <v>January</v>
      </c>
      <c r="J323">
        <v>8</v>
      </c>
      <c r="K323">
        <v>71608</v>
      </c>
    </row>
    <row r="324" spans="1:11" x14ac:dyDescent="0.3">
      <c r="A324" t="s">
        <v>489</v>
      </c>
      <c r="B324" t="s">
        <v>53</v>
      </c>
      <c r="C324">
        <v>44</v>
      </c>
      <c r="D324" t="s">
        <v>18</v>
      </c>
      <c r="E324" t="s">
        <v>49</v>
      </c>
      <c r="F324" t="s">
        <v>20</v>
      </c>
      <c r="G324" s="1">
        <v>46018</v>
      </c>
      <c r="H324" s="1">
        <v>46023</v>
      </c>
      <c r="I324" s="1" t="str">
        <f>TEXT(Table1[[#This Row],[Admission Date]],"MMMM")</f>
        <v>December</v>
      </c>
      <c r="J324">
        <v>5</v>
      </c>
      <c r="K324">
        <v>52565</v>
      </c>
    </row>
    <row r="325" spans="1:11" x14ac:dyDescent="0.3">
      <c r="A325" t="s">
        <v>490</v>
      </c>
      <c r="B325" t="s">
        <v>289</v>
      </c>
      <c r="C325">
        <v>43</v>
      </c>
      <c r="D325" t="s">
        <v>13</v>
      </c>
      <c r="E325" t="s">
        <v>46</v>
      </c>
      <c r="F325" t="s">
        <v>24</v>
      </c>
      <c r="G325" s="1">
        <v>45930</v>
      </c>
      <c r="H325" s="1">
        <v>45937</v>
      </c>
      <c r="I325" s="1" t="str">
        <f>TEXT(Table1[[#This Row],[Admission Date]],"MMMM")</f>
        <v>September</v>
      </c>
      <c r="J325">
        <v>7</v>
      </c>
      <c r="K325">
        <v>62517</v>
      </c>
    </row>
    <row r="326" spans="1:11" x14ac:dyDescent="0.3">
      <c r="A326" t="s">
        <v>491</v>
      </c>
      <c r="B326" t="s">
        <v>51</v>
      </c>
      <c r="C326">
        <v>69</v>
      </c>
      <c r="D326" t="s">
        <v>13</v>
      </c>
      <c r="E326" t="s">
        <v>40</v>
      </c>
      <c r="F326" t="s">
        <v>15</v>
      </c>
      <c r="G326" s="1">
        <v>45772</v>
      </c>
      <c r="H326" s="1">
        <v>45787</v>
      </c>
      <c r="I326" s="1" t="str">
        <f>TEXT(Table1[[#This Row],[Admission Date]],"MMMM")</f>
        <v>April</v>
      </c>
      <c r="J326">
        <v>15</v>
      </c>
      <c r="K326">
        <v>175035</v>
      </c>
    </row>
    <row r="327" spans="1:11" x14ac:dyDescent="0.3">
      <c r="A327" t="s">
        <v>492</v>
      </c>
      <c r="B327" t="s">
        <v>398</v>
      </c>
      <c r="C327">
        <v>12</v>
      </c>
      <c r="D327" t="s">
        <v>13</v>
      </c>
      <c r="E327" t="s">
        <v>14</v>
      </c>
      <c r="F327" t="s">
        <v>28</v>
      </c>
      <c r="G327" s="1">
        <v>45742</v>
      </c>
      <c r="H327" s="1">
        <v>45747</v>
      </c>
      <c r="I327" s="1" t="str">
        <f>TEXT(Table1[[#This Row],[Admission Date]],"MMMM")</f>
        <v>March</v>
      </c>
      <c r="J327">
        <v>5</v>
      </c>
      <c r="K327">
        <v>52710</v>
      </c>
    </row>
    <row r="328" spans="1:11" x14ac:dyDescent="0.3">
      <c r="A328" t="s">
        <v>493</v>
      </c>
      <c r="B328" t="s">
        <v>295</v>
      </c>
      <c r="C328">
        <v>58</v>
      </c>
      <c r="D328" t="s">
        <v>13</v>
      </c>
      <c r="E328" t="s">
        <v>34</v>
      </c>
      <c r="F328" t="s">
        <v>24</v>
      </c>
      <c r="G328" s="1">
        <v>45677</v>
      </c>
      <c r="H328" s="1">
        <v>45688</v>
      </c>
      <c r="I328" s="1" t="str">
        <f>TEXT(Table1[[#This Row],[Admission Date]],"MMMM")</f>
        <v>January</v>
      </c>
      <c r="J328">
        <v>11</v>
      </c>
      <c r="K328">
        <v>69179</v>
      </c>
    </row>
    <row r="329" spans="1:11" x14ac:dyDescent="0.3">
      <c r="A329" t="s">
        <v>494</v>
      </c>
      <c r="B329" t="s">
        <v>427</v>
      </c>
      <c r="C329">
        <v>57</v>
      </c>
      <c r="D329" t="s">
        <v>18</v>
      </c>
      <c r="E329" t="s">
        <v>34</v>
      </c>
      <c r="F329" t="s">
        <v>60</v>
      </c>
      <c r="G329" s="1">
        <v>45758</v>
      </c>
      <c r="H329" s="1">
        <v>45772</v>
      </c>
      <c r="I329" s="1" t="str">
        <f>TEXT(Table1[[#This Row],[Admission Date]],"MMMM")</f>
        <v>April</v>
      </c>
      <c r="J329">
        <v>14</v>
      </c>
      <c r="K329">
        <v>167104</v>
      </c>
    </row>
    <row r="330" spans="1:11" x14ac:dyDescent="0.3">
      <c r="A330" t="s">
        <v>495</v>
      </c>
      <c r="B330" t="s">
        <v>242</v>
      </c>
      <c r="C330">
        <v>13</v>
      </c>
      <c r="D330" t="s">
        <v>13</v>
      </c>
      <c r="E330" t="s">
        <v>27</v>
      </c>
      <c r="F330" t="s">
        <v>63</v>
      </c>
      <c r="G330" s="1">
        <v>45746</v>
      </c>
      <c r="H330" s="1">
        <v>45757</v>
      </c>
      <c r="I330" s="1" t="str">
        <f>TEXT(Table1[[#This Row],[Admission Date]],"MMMM")</f>
        <v>March</v>
      </c>
      <c r="J330">
        <v>11</v>
      </c>
      <c r="K330">
        <v>54175</v>
      </c>
    </row>
    <row r="331" spans="1:11" x14ac:dyDescent="0.3">
      <c r="A331" t="s">
        <v>496</v>
      </c>
      <c r="B331" t="s">
        <v>257</v>
      </c>
      <c r="C331">
        <v>80</v>
      </c>
      <c r="D331" t="s">
        <v>18</v>
      </c>
      <c r="E331" t="s">
        <v>34</v>
      </c>
      <c r="F331" t="s">
        <v>35</v>
      </c>
      <c r="G331" s="1">
        <v>45718</v>
      </c>
      <c r="H331" s="1">
        <v>45732</v>
      </c>
      <c r="I331" s="1" t="str">
        <f>TEXT(Table1[[#This Row],[Admission Date]],"MMMM")</f>
        <v>March</v>
      </c>
      <c r="J331">
        <v>14</v>
      </c>
      <c r="K331">
        <v>114296</v>
      </c>
    </row>
    <row r="332" spans="1:11" x14ac:dyDescent="0.3">
      <c r="A332" t="s">
        <v>497</v>
      </c>
      <c r="B332" t="s">
        <v>161</v>
      </c>
      <c r="C332">
        <v>20</v>
      </c>
      <c r="D332" t="s">
        <v>13</v>
      </c>
      <c r="E332" t="s">
        <v>34</v>
      </c>
      <c r="F332" t="s">
        <v>63</v>
      </c>
      <c r="G332" s="1">
        <v>45859</v>
      </c>
      <c r="H332" s="1">
        <v>45862</v>
      </c>
      <c r="I332" s="1" t="str">
        <f>TEXT(Table1[[#This Row],[Admission Date]],"MMMM")</f>
        <v>July</v>
      </c>
      <c r="J332">
        <v>3</v>
      </c>
      <c r="K332">
        <v>35220</v>
      </c>
    </row>
    <row r="333" spans="1:11" x14ac:dyDescent="0.3">
      <c r="A333" t="s">
        <v>498</v>
      </c>
      <c r="B333" t="s">
        <v>218</v>
      </c>
      <c r="C333">
        <v>19</v>
      </c>
      <c r="D333" t="s">
        <v>18</v>
      </c>
      <c r="E333" t="s">
        <v>19</v>
      </c>
      <c r="F333" t="s">
        <v>24</v>
      </c>
      <c r="G333" s="1">
        <v>45867</v>
      </c>
      <c r="H333" s="1">
        <v>45881</v>
      </c>
      <c r="I333" s="1" t="str">
        <f>TEXT(Table1[[#This Row],[Admission Date]],"MMMM")</f>
        <v>July</v>
      </c>
      <c r="J333">
        <v>14</v>
      </c>
      <c r="K333">
        <v>58128</v>
      </c>
    </row>
    <row r="334" spans="1:11" x14ac:dyDescent="0.3">
      <c r="A334" t="s">
        <v>499</v>
      </c>
      <c r="B334" t="s">
        <v>289</v>
      </c>
      <c r="C334">
        <v>14</v>
      </c>
      <c r="D334" t="s">
        <v>13</v>
      </c>
      <c r="E334" t="s">
        <v>23</v>
      </c>
      <c r="F334" t="s">
        <v>28</v>
      </c>
      <c r="G334" s="1">
        <v>46022</v>
      </c>
      <c r="H334" s="1">
        <v>46029</v>
      </c>
      <c r="I334" s="1" t="str">
        <f>TEXT(Table1[[#This Row],[Admission Date]],"MMMM")</f>
        <v>December</v>
      </c>
      <c r="J334">
        <v>7</v>
      </c>
      <c r="K334">
        <v>28924</v>
      </c>
    </row>
    <row r="335" spans="1:11" x14ac:dyDescent="0.3">
      <c r="A335" t="s">
        <v>500</v>
      </c>
      <c r="B335" t="s">
        <v>212</v>
      </c>
      <c r="C335">
        <v>50</v>
      </c>
      <c r="D335" t="s">
        <v>18</v>
      </c>
      <c r="E335" t="s">
        <v>31</v>
      </c>
      <c r="F335" t="s">
        <v>15</v>
      </c>
      <c r="G335" s="1">
        <v>45674</v>
      </c>
      <c r="H335" s="1">
        <v>45687</v>
      </c>
      <c r="I335" s="1" t="str">
        <f>TEXT(Table1[[#This Row],[Admission Date]],"MMMM")</f>
        <v>January</v>
      </c>
      <c r="J335">
        <v>13</v>
      </c>
      <c r="K335">
        <v>144014</v>
      </c>
    </row>
    <row r="336" spans="1:11" x14ac:dyDescent="0.3">
      <c r="A336" t="s">
        <v>501</v>
      </c>
      <c r="B336" t="s">
        <v>87</v>
      </c>
      <c r="C336">
        <v>9</v>
      </c>
      <c r="D336" t="s">
        <v>13</v>
      </c>
      <c r="E336" t="s">
        <v>14</v>
      </c>
      <c r="F336" t="s">
        <v>24</v>
      </c>
      <c r="G336" s="1">
        <v>45980</v>
      </c>
      <c r="H336" s="1">
        <v>45984</v>
      </c>
      <c r="I336" s="1" t="str">
        <f>TEXT(Table1[[#This Row],[Admission Date]],"MMMM")</f>
        <v>November</v>
      </c>
      <c r="J336">
        <v>4</v>
      </c>
      <c r="K336">
        <v>34224</v>
      </c>
    </row>
    <row r="337" spans="1:11" x14ac:dyDescent="0.3">
      <c r="A337" t="s">
        <v>502</v>
      </c>
      <c r="B337" t="s">
        <v>67</v>
      </c>
      <c r="C337">
        <v>36</v>
      </c>
      <c r="D337" t="s">
        <v>13</v>
      </c>
      <c r="E337" t="s">
        <v>19</v>
      </c>
      <c r="F337" t="s">
        <v>60</v>
      </c>
      <c r="G337" s="1">
        <v>45743</v>
      </c>
      <c r="H337" s="1">
        <v>45746</v>
      </c>
      <c r="I337" s="1" t="str">
        <f>TEXT(Table1[[#This Row],[Admission Date]],"MMMM")</f>
        <v>March</v>
      </c>
      <c r="J337">
        <v>3</v>
      </c>
      <c r="K337">
        <v>20769</v>
      </c>
    </row>
    <row r="338" spans="1:11" x14ac:dyDescent="0.3">
      <c r="A338" t="s">
        <v>503</v>
      </c>
      <c r="B338" t="s">
        <v>12</v>
      </c>
      <c r="C338">
        <v>75</v>
      </c>
      <c r="D338" t="s">
        <v>13</v>
      </c>
      <c r="E338" t="s">
        <v>14</v>
      </c>
      <c r="F338" t="s">
        <v>24</v>
      </c>
      <c r="G338" s="1">
        <v>45929</v>
      </c>
      <c r="H338" s="1">
        <v>45944</v>
      </c>
      <c r="I338" s="1" t="str">
        <f>TEXT(Table1[[#This Row],[Admission Date]],"MMMM")</f>
        <v>September</v>
      </c>
      <c r="J338">
        <v>15</v>
      </c>
      <c r="K338">
        <v>80550</v>
      </c>
    </row>
    <row r="339" spans="1:11" x14ac:dyDescent="0.3">
      <c r="A339" t="s">
        <v>504</v>
      </c>
      <c r="B339" t="s">
        <v>472</v>
      </c>
      <c r="C339">
        <v>66</v>
      </c>
      <c r="D339" t="s">
        <v>18</v>
      </c>
      <c r="E339" t="s">
        <v>103</v>
      </c>
      <c r="F339" t="s">
        <v>60</v>
      </c>
      <c r="G339" s="1">
        <v>45906</v>
      </c>
      <c r="H339" s="1">
        <v>45909</v>
      </c>
      <c r="I339" s="1" t="str">
        <f>TEXT(Table1[[#This Row],[Admission Date]],"MMMM")</f>
        <v>September</v>
      </c>
      <c r="J339">
        <v>3</v>
      </c>
      <c r="K339">
        <v>35112</v>
      </c>
    </row>
    <row r="340" spans="1:11" x14ac:dyDescent="0.3">
      <c r="A340" t="s">
        <v>505</v>
      </c>
      <c r="B340" t="s">
        <v>135</v>
      </c>
      <c r="C340">
        <v>39</v>
      </c>
      <c r="D340" t="s">
        <v>18</v>
      </c>
      <c r="E340" t="s">
        <v>14</v>
      </c>
      <c r="F340" t="s">
        <v>60</v>
      </c>
      <c r="G340" s="1">
        <v>45973</v>
      </c>
      <c r="H340" s="1">
        <v>45983</v>
      </c>
      <c r="I340" s="1" t="str">
        <f>TEXT(Table1[[#This Row],[Admission Date]],"MMMM")</f>
        <v>November</v>
      </c>
      <c r="J340">
        <v>10</v>
      </c>
      <c r="K340">
        <v>115880</v>
      </c>
    </row>
    <row r="341" spans="1:11" x14ac:dyDescent="0.3">
      <c r="A341" t="s">
        <v>506</v>
      </c>
      <c r="B341" t="s">
        <v>372</v>
      </c>
      <c r="C341">
        <v>15</v>
      </c>
      <c r="D341" t="s">
        <v>13</v>
      </c>
      <c r="E341" t="s">
        <v>27</v>
      </c>
      <c r="F341" t="s">
        <v>20</v>
      </c>
      <c r="G341" s="1">
        <v>46021</v>
      </c>
      <c r="H341" s="1">
        <v>46026</v>
      </c>
      <c r="I341" s="1" t="str">
        <f>TEXT(Table1[[#This Row],[Admission Date]],"MMMM")</f>
        <v>December</v>
      </c>
      <c r="J341">
        <v>5</v>
      </c>
      <c r="K341">
        <v>33170</v>
      </c>
    </row>
    <row r="342" spans="1:11" x14ac:dyDescent="0.3">
      <c r="A342" t="s">
        <v>507</v>
      </c>
      <c r="B342" t="s">
        <v>354</v>
      </c>
      <c r="C342">
        <v>35</v>
      </c>
      <c r="D342" t="s">
        <v>18</v>
      </c>
      <c r="E342" t="s">
        <v>23</v>
      </c>
      <c r="F342" t="s">
        <v>24</v>
      </c>
      <c r="G342" s="1">
        <v>46015</v>
      </c>
      <c r="H342" s="1">
        <v>46018</v>
      </c>
      <c r="I342" s="1" t="str">
        <f>TEXT(Table1[[#This Row],[Admission Date]],"MMMM")</f>
        <v>December</v>
      </c>
      <c r="J342">
        <v>3</v>
      </c>
      <c r="K342">
        <v>25176</v>
      </c>
    </row>
    <row r="343" spans="1:11" x14ac:dyDescent="0.3">
      <c r="A343" t="s">
        <v>508</v>
      </c>
      <c r="B343" t="s">
        <v>268</v>
      </c>
      <c r="C343">
        <v>43</v>
      </c>
      <c r="D343" t="s">
        <v>13</v>
      </c>
      <c r="E343" t="s">
        <v>34</v>
      </c>
      <c r="F343" t="s">
        <v>63</v>
      </c>
      <c r="G343" s="1">
        <v>45990</v>
      </c>
      <c r="H343" s="1">
        <v>46001</v>
      </c>
      <c r="I343" s="1" t="str">
        <f>TEXT(Table1[[#This Row],[Admission Date]],"MMMM")</f>
        <v>November</v>
      </c>
      <c r="J343">
        <v>11</v>
      </c>
      <c r="K343">
        <v>95260</v>
      </c>
    </row>
    <row r="344" spans="1:11" x14ac:dyDescent="0.3">
      <c r="A344" t="s">
        <v>509</v>
      </c>
      <c r="B344" t="s">
        <v>165</v>
      </c>
      <c r="C344">
        <v>45</v>
      </c>
      <c r="D344" t="s">
        <v>18</v>
      </c>
      <c r="E344" t="s">
        <v>40</v>
      </c>
      <c r="F344" t="s">
        <v>24</v>
      </c>
      <c r="G344" s="1">
        <v>45779</v>
      </c>
      <c r="H344" s="1">
        <v>45781</v>
      </c>
      <c r="I344" s="1" t="str">
        <f>TEXT(Table1[[#This Row],[Admission Date]],"MMMM")</f>
        <v>May</v>
      </c>
      <c r="J344">
        <v>2</v>
      </c>
      <c r="K344">
        <v>17404</v>
      </c>
    </row>
    <row r="345" spans="1:11" x14ac:dyDescent="0.3">
      <c r="A345" t="s">
        <v>510</v>
      </c>
      <c r="B345" t="s">
        <v>59</v>
      </c>
      <c r="C345">
        <v>63</v>
      </c>
      <c r="D345" t="s">
        <v>13</v>
      </c>
      <c r="E345" t="s">
        <v>19</v>
      </c>
      <c r="F345" t="s">
        <v>63</v>
      </c>
      <c r="G345" s="1">
        <v>45696</v>
      </c>
      <c r="H345" s="1">
        <v>45705</v>
      </c>
      <c r="I345" s="1" t="str">
        <f>TEXT(Table1[[#This Row],[Admission Date]],"MMMM")</f>
        <v>February</v>
      </c>
      <c r="J345">
        <v>9</v>
      </c>
      <c r="K345">
        <v>104463</v>
      </c>
    </row>
    <row r="346" spans="1:11" x14ac:dyDescent="0.3">
      <c r="A346" t="s">
        <v>511</v>
      </c>
      <c r="B346" t="s">
        <v>57</v>
      </c>
      <c r="C346">
        <v>20</v>
      </c>
      <c r="D346" t="s">
        <v>18</v>
      </c>
      <c r="E346" t="s">
        <v>23</v>
      </c>
      <c r="F346" t="s">
        <v>35</v>
      </c>
      <c r="G346" s="1">
        <v>45682</v>
      </c>
      <c r="H346" s="1">
        <v>45691</v>
      </c>
      <c r="I346" s="1" t="str">
        <f>TEXT(Table1[[#This Row],[Admission Date]],"MMMM")</f>
        <v>January</v>
      </c>
      <c r="J346">
        <v>9</v>
      </c>
      <c r="K346">
        <v>40707</v>
      </c>
    </row>
    <row r="347" spans="1:11" x14ac:dyDescent="0.3">
      <c r="A347" t="s">
        <v>512</v>
      </c>
      <c r="B347" t="s">
        <v>147</v>
      </c>
      <c r="C347">
        <v>40</v>
      </c>
      <c r="D347" t="s">
        <v>18</v>
      </c>
      <c r="E347" t="s">
        <v>49</v>
      </c>
      <c r="F347" t="s">
        <v>60</v>
      </c>
      <c r="G347" s="1">
        <v>45704</v>
      </c>
      <c r="H347" s="1">
        <v>45709</v>
      </c>
      <c r="I347" s="1" t="str">
        <f>TEXT(Table1[[#This Row],[Admission Date]],"MMMM")</f>
        <v>February</v>
      </c>
      <c r="J347">
        <v>5</v>
      </c>
      <c r="K347">
        <v>48395</v>
      </c>
    </row>
    <row r="348" spans="1:11" x14ac:dyDescent="0.3">
      <c r="A348" t="s">
        <v>513</v>
      </c>
      <c r="B348" t="s">
        <v>53</v>
      </c>
      <c r="C348">
        <v>90</v>
      </c>
      <c r="D348" t="s">
        <v>13</v>
      </c>
      <c r="E348" t="s">
        <v>19</v>
      </c>
      <c r="F348" t="s">
        <v>20</v>
      </c>
      <c r="G348" s="1">
        <v>45677</v>
      </c>
      <c r="H348" s="1">
        <v>45686</v>
      </c>
      <c r="I348" s="1" t="str">
        <f>TEXT(Table1[[#This Row],[Admission Date]],"MMMM")</f>
        <v>January</v>
      </c>
      <c r="J348">
        <v>9</v>
      </c>
      <c r="K348">
        <v>62307</v>
      </c>
    </row>
    <row r="349" spans="1:11" x14ac:dyDescent="0.3">
      <c r="A349" t="s">
        <v>514</v>
      </c>
      <c r="B349" t="s">
        <v>172</v>
      </c>
      <c r="C349">
        <v>76</v>
      </c>
      <c r="D349" t="s">
        <v>18</v>
      </c>
      <c r="E349" t="s">
        <v>103</v>
      </c>
      <c r="F349" t="s">
        <v>15</v>
      </c>
      <c r="G349" s="1">
        <v>45896</v>
      </c>
      <c r="H349" s="1">
        <v>45899</v>
      </c>
      <c r="I349" s="1" t="str">
        <f>TEXT(Table1[[#This Row],[Admission Date]],"MMMM")</f>
        <v>August</v>
      </c>
      <c r="J349">
        <v>3</v>
      </c>
      <c r="K349">
        <v>26649</v>
      </c>
    </row>
    <row r="350" spans="1:11" x14ac:dyDescent="0.3">
      <c r="A350" t="s">
        <v>515</v>
      </c>
      <c r="B350" t="s">
        <v>307</v>
      </c>
      <c r="C350">
        <v>70</v>
      </c>
      <c r="D350" t="s">
        <v>13</v>
      </c>
      <c r="E350" t="s">
        <v>103</v>
      </c>
      <c r="F350" t="s">
        <v>28</v>
      </c>
      <c r="G350" s="1">
        <v>45858</v>
      </c>
      <c r="H350" s="1">
        <v>45864</v>
      </c>
      <c r="I350" s="1" t="str">
        <f>TEXT(Table1[[#This Row],[Admission Date]],"MMMM")</f>
        <v>July</v>
      </c>
      <c r="J350">
        <v>6</v>
      </c>
      <c r="K350">
        <v>65322</v>
      </c>
    </row>
    <row r="351" spans="1:11" x14ac:dyDescent="0.3">
      <c r="A351" t="s">
        <v>516</v>
      </c>
      <c r="B351" t="s">
        <v>309</v>
      </c>
      <c r="C351">
        <v>81</v>
      </c>
      <c r="D351" t="s">
        <v>18</v>
      </c>
      <c r="E351" t="s">
        <v>46</v>
      </c>
      <c r="F351" t="s">
        <v>15</v>
      </c>
      <c r="G351" s="1">
        <v>45911</v>
      </c>
      <c r="H351" s="1">
        <v>45919</v>
      </c>
      <c r="I351" s="1" t="str">
        <f>TEXT(Table1[[#This Row],[Admission Date]],"MMMM")</f>
        <v>September</v>
      </c>
      <c r="J351">
        <v>8</v>
      </c>
      <c r="K351">
        <v>63888</v>
      </c>
    </row>
    <row r="352" spans="1:11" x14ac:dyDescent="0.3">
      <c r="A352" t="s">
        <v>517</v>
      </c>
      <c r="B352" t="s">
        <v>427</v>
      </c>
      <c r="C352">
        <v>48</v>
      </c>
      <c r="D352" t="s">
        <v>18</v>
      </c>
      <c r="E352" t="s">
        <v>19</v>
      </c>
      <c r="F352" t="s">
        <v>43</v>
      </c>
      <c r="G352" s="1">
        <v>45729</v>
      </c>
      <c r="H352" s="1">
        <v>45733</v>
      </c>
      <c r="I352" s="1" t="str">
        <f>TEXT(Table1[[#This Row],[Admission Date]],"MMMM")</f>
        <v>March</v>
      </c>
      <c r="J352">
        <v>4</v>
      </c>
      <c r="K352">
        <v>33732</v>
      </c>
    </row>
    <row r="353" spans="1:11" x14ac:dyDescent="0.3">
      <c r="A353" t="s">
        <v>518</v>
      </c>
      <c r="B353" t="s">
        <v>239</v>
      </c>
      <c r="C353">
        <v>63</v>
      </c>
      <c r="D353" t="s">
        <v>13</v>
      </c>
      <c r="E353" t="s">
        <v>23</v>
      </c>
      <c r="F353" t="s">
        <v>63</v>
      </c>
      <c r="G353" s="1">
        <v>45975</v>
      </c>
      <c r="H353" s="1">
        <v>45984</v>
      </c>
      <c r="I353" s="1" t="str">
        <f>TEXT(Table1[[#This Row],[Admission Date]],"MMMM")</f>
        <v>November</v>
      </c>
      <c r="J353">
        <v>9</v>
      </c>
      <c r="K353">
        <v>79740</v>
      </c>
    </row>
    <row r="354" spans="1:11" x14ac:dyDescent="0.3">
      <c r="A354" t="s">
        <v>519</v>
      </c>
      <c r="B354" t="s">
        <v>65</v>
      </c>
      <c r="C354">
        <v>5</v>
      </c>
      <c r="D354" t="s">
        <v>18</v>
      </c>
      <c r="E354" t="s">
        <v>23</v>
      </c>
      <c r="F354" t="s">
        <v>24</v>
      </c>
      <c r="G354" s="1">
        <v>45992</v>
      </c>
      <c r="H354" s="1">
        <v>45996</v>
      </c>
      <c r="I354" s="1" t="str">
        <f>TEXT(Table1[[#This Row],[Admission Date]],"MMMM")</f>
        <v>December</v>
      </c>
      <c r="J354">
        <v>4</v>
      </c>
      <c r="K354">
        <v>44192</v>
      </c>
    </row>
    <row r="355" spans="1:11" x14ac:dyDescent="0.3">
      <c r="A355" t="s">
        <v>520</v>
      </c>
      <c r="B355" t="s">
        <v>126</v>
      </c>
      <c r="C355">
        <v>40</v>
      </c>
      <c r="D355" t="s">
        <v>18</v>
      </c>
      <c r="E355" t="s">
        <v>34</v>
      </c>
      <c r="F355" t="s">
        <v>43</v>
      </c>
      <c r="G355" s="1">
        <v>45787</v>
      </c>
      <c r="H355" s="1">
        <v>45797</v>
      </c>
      <c r="I355" s="1" t="str">
        <f>TEXT(Table1[[#This Row],[Admission Date]],"MMMM")</f>
        <v>May</v>
      </c>
      <c r="J355">
        <v>10</v>
      </c>
      <c r="K355">
        <v>63580</v>
      </c>
    </row>
    <row r="356" spans="1:11" x14ac:dyDescent="0.3">
      <c r="A356" t="s">
        <v>521</v>
      </c>
      <c r="B356" t="s">
        <v>152</v>
      </c>
      <c r="C356">
        <v>70</v>
      </c>
      <c r="D356" t="s">
        <v>18</v>
      </c>
      <c r="E356" t="s">
        <v>19</v>
      </c>
      <c r="F356" t="s">
        <v>15</v>
      </c>
      <c r="G356" s="1">
        <v>45850</v>
      </c>
      <c r="H356" s="1">
        <v>45857</v>
      </c>
      <c r="I356" s="1" t="str">
        <f>TEXT(Table1[[#This Row],[Admission Date]],"MMMM")</f>
        <v>July</v>
      </c>
      <c r="J356">
        <v>7</v>
      </c>
      <c r="K356">
        <v>73108</v>
      </c>
    </row>
    <row r="357" spans="1:11" x14ac:dyDescent="0.3">
      <c r="A357" t="s">
        <v>522</v>
      </c>
      <c r="B357" t="s">
        <v>67</v>
      </c>
      <c r="C357">
        <v>48</v>
      </c>
      <c r="D357" t="s">
        <v>18</v>
      </c>
      <c r="E357" t="s">
        <v>34</v>
      </c>
      <c r="F357" t="s">
        <v>24</v>
      </c>
      <c r="G357" s="1">
        <v>45819</v>
      </c>
      <c r="H357" s="1">
        <v>45826</v>
      </c>
      <c r="I357" s="1" t="str">
        <f>TEXT(Table1[[#This Row],[Admission Date]],"MMMM")</f>
        <v>June</v>
      </c>
      <c r="J357">
        <v>7</v>
      </c>
      <c r="K357">
        <v>77637</v>
      </c>
    </row>
    <row r="358" spans="1:11" x14ac:dyDescent="0.3">
      <c r="A358" t="s">
        <v>523</v>
      </c>
      <c r="B358" t="s">
        <v>237</v>
      </c>
      <c r="C358">
        <v>39</v>
      </c>
      <c r="D358" t="s">
        <v>18</v>
      </c>
      <c r="E358" t="s">
        <v>27</v>
      </c>
      <c r="F358" t="s">
        <v>60</v>
      </c>
      <c r="G358" s="1">
        <v>45935</v>
      </c>
      <c r="H358" s="1">
        <v>45936</v>
      </c>
      <c r="I358" s="1" t="str">
        <f>TEXT(Table1[[#This Row],[Admission Date]],"MMMM")</f>
        <v>October</v>
      </c>
      <c r="J358">
        <v>1</v>
      </c>
      <c r="K358">
        <v>8791</v>
      </c>
    </row>
    <row r="359" spans="1:11" x14ac:dyDescent="0.3">
      <c r="A359" t="s">
        <v>524</v>
      </c>
      <c r="B359" t="s">
        <v>462</v>
      </c>
      <c r="C359">
        <v>19</v>
      </c>
      <c r="D359" t="s">
        <v>18</v>
      </c>
      <c r="E359" t="s">
        <v>46</v>
      </c>
      <c r="F359" t="s">
        <v>15</v>
      </c>
      <c r="G359" s="1">
        <v>46022</v>
      </c>
      <c r="H359" s="1">
        <v>46034</v>
      </c>
      <c r="I359" s="1" t="str">
        <f>TEXT(Table1[[#This Row],[Admission Date]],"MMMM")</f>
        <v>December</v>
      </c>
      <c r="J359">
        <v>12</v>
      </c>
      <c r="K359">
        <v>54576</v>
      </c>
    </row>
    <row r="360" spans="1:11" x14ac:dyDescent="0.3">
      <c r="A360" t="s">
        <v>525</v>
      </c>
      <c r="B360" t="s">
        <v>59</v>
      </c>
      <c r="C360">
        <v>87</v>
      </c>
      <c r="D360" t="s">
        <v>13</v>
      </c>
      <c r="E360" t="s">
        <v>31</v>
      </c>
      <c r="F360" t="s">
        <v>28</v>
      </c>
      <c r="G360" s="1">
        <v>45784</v>
      </c>
      <c r="H360" s="1">
        <v>45797</v>
      </c>
      <c r="I360" s="1" t="str">
        <f>TEXT(Table1[[#This Row],[Admission Date]],"MMMM")</f>
        <v>May</v>
      </c>
      <c r="J360">
        <v>13</v>
      </c>
      <c r="K360">
        <v>148291</v>
      </c>
    </row>
    <row r="361" spans="1:11" x14ac:dyDescent="0.3">
      <c r="A361" t="s">
        <v>526</v>
      </c>
      <c r="B361" t="s">
        <v>48</v>
      </c>
      <c r="C361">
        <v>75</v>
      </c>
      <c r="D361" t="s">
        <v>13</v>
      </c>
      <c r="E361" t="s">
        <v>34</v>
      </c>
      <c r="F361" t="s">
        <v>43</v>
      </c>
      <c r="G361" s="1">
        <v>45903</v>
      </c>
      <c r="H361" s="1">
        <v>45906</v>
      </c>
      <c r="I361" s="1" t="str">
        <f>TEXT(Table1[[#This Row],[Admission Date]],"MMMM")</f>
        <v>September</v>
      </c>
      <c r="J361">
        <v>3</v>
      </c>
      <c r="K361">
        <v>29802</v>
      </c>
    </row>
    <row r="362" spans="1:11" x14ac:dyDescent="0.3">
      <c r="A362" t="s">
        <v>527</v>
      </c>
      <c r="B362" t="s">
        <v>87</v>
      </c>
      <c r="C362">
        <v>13</v>
      </c>
      <c r="D362" t="s">
        <v>13</v>
      </c>
      <c r="E362" t="s">
        <v>23</v>
      </c>
      <c r="F362" t="s">
        <v>60</v>
      </c>
      <c r="G362" s="1">
        <v>45734</v>
      </c>
      <c r="H362" s="1">
        <v>45742</v>
      </c>
      <c r="I362" s="1" t="str">
        <f>TEXT(Table1[[#This Row],[Admission Date]],"MMMM")</f>
        <v>March</v>
      </c>
      <c r="J362">
        <v>8</v>
      </c>
      <c r="K362">
        <v>85216</v>
      </c>
    </row>
    <row r="363" spans="1:11" x14ac:dyDescent="0.3">
      <c r="A363" t="s">
        <v>528</v>
      </c>
      <c r="B363" t="s">
        <v>376</v>
      </c>
      <c r="C363">
        <v>4</v>
      </c>
      <c r="D363" t="s">
        <v>18</v>
      </c>
      <c r="E363" t="s">
        <v>14</v>
      </c>
      <c r="F363" t="s">
        <v>60</v>
      </c>
      <c r="G363" s="1">
        <v>45933</v>
      </c>
      <c r="H363" s="1">
        <v>45941</v>
      </c>
      <c r="I363" s="1" t="str">
        <f>TEXT(Table1[[#This Row],[Admission Date]],"MMMM")</f>
        <v>October</v>
      </c>
      <c r="J363">
        <v>8</v>
      </c>
      <c r="K363">
        <v>33080</v>
      </c>
    </row>
    <row r="364" spans="1:11" x14ac:dyDescent="0.3">
      <c r="A364" t="s">
        <v>529</v>
      </c>
      <c r="B364" t="s">
        <v>331</v>
      </c>
      <c r="C364">
        <v>16</v>
      </c>
      <c r="D364" t="s">
        <v>18</v>
      </c>
      <c r="E364" t="s">
        <v>34</v>
      </c>
      <c r="F364" t="s">
        <v>43</v>
      </c>
      <c r="G364" s="1">
        <v>45684</v>
      </c>
      <c r="H364" s="1">
        <v>45688</v>
      </c>
      <c r="I364" s="1" t="str">
        <f>TEXT(Table1[[#This Row],[Admission Date]],"MMMM")</f>
        <v>January</v>
      </c>
      <c r="J364">
        <v>4</v>
      </c>
      <c r="K364">
        <v>35128</v>
      </c>
    </row>
    <row r="365" spans="1:11" x14ac:dyDescent="0.3">
      <c r="A365" t="s">
        <v>530</v>
      </c>
      <c r="B365" t="s">
        <v>163</v>
      </c>
      <c r="C365">
        <v>18</v>
      </c>
      <c r="D365" t="s">
        <v>18</v>
      </c>
      <c r="E365" t="s">
        <v>14</v>
      </c>
      <c r="F365" t="s">
        <v>28</v>
      </c>
      <c r="G365" s="1">
        <v>45961</v>
      </c>
      <c r="H365" s="1">
        <v>45963</v>
      </c>
      <c r="I365" s="1" t="str">
        <f>TEXT(Table1[[#This Row],[Admission Date]],"MMMM")</f>
        <v>October</v>
      </c>
      <c r="J365">
        <v>2</v>
      </c>
      <c r="K365">
        <v>11896</v>
      </c>
    </row>
    <row r="366" spans="1:11" x14ac:dyDescent="0.3">
      <c r="A366" t="s">
        <v>531</v>
      </c>
      <c r="B366" t="s">
        <v>59</v>
      </c>
      <c r="C366">
        <v>35</v>
      </c>
      <c r="D366" t="s">
        <v>13</v>
      </c>
      <c r="E366" t="s">
        <v>40</v>
      </c>
      <c r="F366" t="s">
        <v>28</v>
      </c>
      <c r="G366" s="1">
        <v>45932</v>
      </c>
      <c r="H366" s="1">
        <v>45947</v>
      </c>
      <c r="I366" s="1" t="str">
        <f>TEXT(Table1[[#This Row],[Admission Date]],"MMMM")</f>
        <v>October</v>
      </c>
      <c r="J366">
        <v>15</v>
      </c>
      <c r="K366">
        <v>125055</v>
      </c>
    </row>
    <row r="367" spans="1:11" x14ac:dyDescent="0.3">
      <c r="A367" t="s">
        <v>532</v>
      </c>
      <c r="B367" t="s">
        <v>398</v>
      </c>
      <c r="C367">
        <v>36</v>
      </c>
      <c r="D367" t="s">
        <v>18</v>
      </c>
      <c r="E367" t="s">
        <v>27</v>
      </c>
      <c r="F367" t="s">
        <v>60</v>
      </c>
      <c r="G367" s="1">
        <v>45794</v>
      </c>
      <c r="H367" s="1">
        <v>45801</v>
      </c>
      <c r="I367" s="1" t="str">
        <f>TEXT(Table1[[#This Row],[Admission Date]],"MMMM")</f>
        <v>May</v>
      </c>
      <c r="J367">
        <v>7</v>
      </c>
      <c r="K367">
        <v>71743</v>
      </c>
    </row>
    <row r="368" spans="1:11" x14ac:dyDescent="0.3">
      <c r="A368" t="s">
        <v>533</v>
      </c>
      <c r="B368" t="s">
        <v>472</v>
      </c>
      <c r="C368">
        <v>85</v>
      </c>
      <c r="D368" t="s">
        <v>18</v>
      </c>
      <c r="E368" t="s">
        <v>27</v>
      </c>
      <c r="F368" t="s">
        <v>35</v>
      </c>
      <c r="G368" s="1">
        <v>45758</v>
      </c>
      <c r="H368" s="1">
        <v>45764</v>
      </c>
      <c r="I368" s="1" t="str">
        <f>TEXT(Table1[[#This Row],[Admission Date]],"MMMM")</f>
        <v>April</v>
      </c>
      <c r="J368">
        <v>6</v>
      </c>
      <c r="K368">
        <v>24072</v>
      </c>
    </row>
    <row r="369" spans="1:11" x14ac:dyDescent="0.3">
      <c r="A369" t="s">
        <v>534</v>
      </c>
      <c r="B369" t="s">
        <v>143</v>
      </c>
      <c r="C369">
        <v>4</v>
      </c>
      <c r="D369" t="s">
        <v>18</v>
      </c>
      <c r="E369" t="s">
        <v>31</v>
      </c>
      <c r="F369" t="s">
        <v>24</v>
      </c>
      <c r="G369" s="1">
        <v>45677</v>
      </c>
      <c r="H369" s="1">
        <v>45688</v>
      </c>
      <c r="I369" s="1" t="str">
        <f>TEXT(Table1[[#This Row],[Admission Date]],"MMMM")</f>
        <v>January</v>
      </c>
      <c r="J369">
        <v>11</v>
      </c>
      <c r="K369">
        <v>117744</v>
      </c>
    </row>
    <row r="370" spans="1:11" x14ac:dyDescent="0.3">
      <c r="A370" t="s">
        <v>535</v>
      </c>
      <c r="B370" t="s">
        <v>382</v>
      </c>
      <c r="C370">
        <v>19</v>
      </c>
      <c r="D370" t="s">
        <v>18</v>
      </c>
      <c r="E370" t="s">
        <v>19</v>
      </c>
      <c r="F370" t="s">
        <v>28</v>
      </c>
      <c r="G370" s="1">
        <v>45731</v>
      </c>
      <c r="H370" s="1">
        <v>45737</v>
      </c>
      <c r="I370" s="1" t="str">
        <f>TEXT(Table1[[#This Row],[Admission Date]],"MMMM")</f>
        <v>March</v>
      </c>
      <c r="J370">
        <v>6</v>
      </c>
      <c r="K370">
        <v>54462</v>
      </c>
    </row>
    <row r="371" spans="1:11" x14ac:dyDescent="0.3">
      <c r="A371" t="s">
        <v>536</v>
      </c>
      <c r="B371" t="s">
        <v>246</v>
      </c>
      <c r="C371">
        <v>42</v>
      </c>
      <c r="D371" t="s">
        <v>13</v>
      </c>
      <c r="E371" t="s">
        <v>46</v>
      </c>
      <c r="F371" t="s">
        <v>15</v>
      </c>
      <c r="G371" s="1">
        <v>45661</v>
      </c>
      <c r="H371" s="1">
        <v>45673</v>
      </c>
      <c r="I371" s="1" t="str">
        <f>TEXT(Table1[[#This Row],[Admission Date]],"MMMM")</f>
        <v>January</v>
      </c>
      <c r="J371">
        <v>12</v>
      </c>
      <c r="K371">
        <v>101376</v>
      </c>
    </row>
    <row r="372" spans="1:11" x14ac:dyDescent="0.3">
      <c r="A372" t="s">
        <v>537</v>
      </c>
      <c r="B372" t="s">
        <v>309</v>
      </c>
      <c r="C372">
        <v>6</v>
      </c>
      <c r="D372" t="s">
        <v>13</v>
      </c>
      <c r="E372" t="s">
        <v>23</v>
      </c>
      <c r="F372" t="s">
        <v>15</v>
      </c>
      <c r="G372" s="1">
        <v>45934</v>
      </c>
      <c r="H372" s="1">
        <v>45945</v>
      </c>
      <c r="I372" s="1" t="str">
        <f>TEXT(Table1[[#This Row],[Admission Date]],"MMMM")</f>
        <v>October</v>
      </c>
      <c r="J372">
        <v>11</v>
      </c>
      <c r="K372">
        <v>45386</v>
      </c>
    </row>
    <row r="373" spans="1:11" x14ac:dyDescent="0.3">
      <c r="A373" t="s">
        <v>538</v>
      </c>
      <c r="B373" t="s">
        <v>468</v>
      </c>
      <c r="C373">
        <v>65</v>
      </c>
      <c r="D373" t="s">
        <v>18</v>
      </c>
      <c r="E373" t="s">
        <v>19</v>
      </c>
      <c r="F373" t="s">
        <v>20</v>
      </c>
      <c r="G373" s="1">
        <v>45695</v>
      </c>
      <c r="H373" s="1">
        <v>45710</v>
      </c>
      <c r="I373" s="1" t="str">
        <f>TEXT(Table1[[#This Row],[Admission Date]],"MMMM")</f>
        <v>February</v>
      </c>
      <c r="J373">
        <v>15</v>
      </c>
      <c r="K373">
        <v>110805</v>
      </c>
    </row>
    <row r="374" spans="1:11" x14ac:dyDescent="0.3">
      <c r="A374" t="s">
        <v>539</v>
      </c>
      <c r="B374" t="s">
        <v>362</v>
      </c>
      <c r="C374">
        <v>41</v>
      </c>
      <c r="D374" t="s">
        <v>13</v>
      </c>
      <c r="E374" t="s">
        <v>103</v>
      </c>
      <c r="F374" t="s">
        <v>43</v>
      </c>
      <c r="G374" s="1">
        <v>45715</v>
      </c>
      <c r="H374" s="1">
        <v>45728</v>
      </c>
      <c r="I374" s="1" t="str">
        <f>TEXT(Table1[[#This Row],[Admission Date]],"MMMM")</f>
        <v>February</v>
      </c>
      <c r="J374">
        <v>13</v>
      </c>
      <c r="K374">
        <v>55874</v>
      </c>
    </row>
    <row r="375" spans="1:11" x14ac:dyDescent="0.3">
      <c r="A375" t="s">
        <v>540</v>
      </c>
      <c r="B375" t="s">
        <v>110</v>
      </c>
      <c r="C375">
        <v>81</v>
      </c>
      <c r="D375" t="s">
        <v>13</v>
      </c>
      <c r="E375" t="s">
        <v>46</v>
      </c>
      <c r="F375" t="s">
        <v>35</v>
      </c>
      <c r="G375" s="1">
        <v>45759</v>
      </c>
      <c r="H375" s="1">
        <v>45761</v>
      </c>
      <c r="I375" s="1" t="str">
        <f>TEXT(Table1[[#This Row],[Admission Date]],"MMMM")</f>
        <v>April</v>
      </c>
      <c r="J375">
        <v>2</v>
      </c>
      <c r="K375">
        <v>13064</v>
      </c>
    </row>
    <row r="376" spans="1:11" x14ac:dyDescent="0.3">
      <c r="A376" t="s">
        <v>541</v>
      </c>
      <c r="B376" t="s">
        <v>33</v>
      </c>
      <c r="C376">
        <v>28</v>
      </c>
      <c r="D376" t="s">
        <v>13</v>
      </c>
      <c r="E376" t="s">
        <v>34</v>
      </c>
      <c r="F376" t="s">
        <v>24</v>
      </c>
      <c r="G376" s="1">
        <v>45945</v>
      </c>
      <c r="H376" s="1">
        <v>45949</v>
      </c>
      <c r="I376" s="1" t="str">
        <f>TEXT(Table1[[#This Row],[Admission Date]],"MMMM")</f>
        <v>October</v>
      </c>
      <c r="J376">
        <v>4</v>
      </c>
      <c r="K376">
        <v>19768</v>
      </c>
    </row>
    <row r="377" spans="1:11" x14ac:dyDescent="0.3">
      <c r="A377" t="s">
        <v>542</v>
      </c>
      <c r="B377" t="s">
        <v>69</v>
      </c>
      <c r="C377">
        <v>39</v>
      </c>
      <c r="D377" t="s">
        <v>18</v>
      </c>
      <c r="E377" t="s">
        <v>34</v>
      </c>
      <c r="F377" t="s">
        <v>20</v>
      </c>
      <c r="G377" s="1">
        <v>45974</v>
      </c>
      <c r="H377" s="1">
        <v>45981</v>
      </c>
      <c r="I377" s="1" t="str">
        <f>TEXT(Table1[[#This Row],[Admission Date]],"MMMM")</f>
        <v>November</v>
      </c>
      <c r="J377">
        <v>7</v>
      </c>
      <c r="K377">
        <v>50085</v>
      </c>
    </row>
    <row r="378" spans="1:11" x14ac:dyDescent="0.3">
      <c r="A378" t="s">
        <v>543</v>
      </c>
      <c r="B378" t="s">
        <v>117</v>
      </c>
      <c r="C378">
        <v>87</v>
      </c>
      <c r="D378" t="s">
        <v>13</v>
      </c>
      <c r="E378" t="s">
        <v>27</v>
      </c>
      <c r="F378" t="s">
        <v>35</v>
      </c>
      <c r="G378" s="1">
        <v>45861</v>
      </c>
      <c r="H378" s="1">
        <v>45876</v>
      </c>
      <c r="I378" s="1" t="str">
        <f>TEXT(Table1[[#This Row],[Admission Date]],"MMMM")</f>
        <v>July</v>
      </c>
      <c r="J378">
        <v>15</v>
      </c>
      <c r="K378">
        <v>69150</v>
      </c>
    </row>
    <row r="379" spans="1:11" x14ac:dyDescent="0.3">
      <c r="A379" t="s">
        <v>544</v>
      </c>
      <c r="B379" t="s">
        <v>113</v>
      </c>
      <c r="C379">
        <v>28</v>
      </c>
      <c r="D379" t="s">
        <v>18</v>
      </c>
      <c r="E379" t="s">
        <v>19</v>
      </c>
      <c r="F379" t="s">
        <v>24</v>
      </c>
      <c r="G379" s="1">
        <v>45918</v>
      </c>
      <c r="H379" s="1">
        <v>45924</v>
      </c>
      <c r="I379" s="1" t="str">
        <f>TEXT(Table1[[#This Row],[Admission Date]],"MMMM")</f>
        <v>September</v>
      </c>
      <c r="J379">
        <v>6</v>
      </c>
      <c r="K379">
        <v>36486</v>
      </c>
    </row>
    <row r="380" spans="1:11" x14ac:dyDescent="0.3">
      <c r="A380" t="s">
        <v>545</v>
      </c>
      <c r="B380" t="s">
        <v>45</v>
      </c>
      <c r="C380">
        <v>89</v>
      </c>
      <c r="D380" t="s">
        <v>13</v>
      </c>
      <c r="E380" t="s">
        <v>14</v>
      </c>
      <c r="F380" t="s">
        <v>60</v>
      </c>
      <c r="G380" s="1">
        <v>45859</v>
      </c>
      <c r="H380" s="1">
        <v>45866</v>
      </c>
      <c r="I380" s="1" t="str">
        <f>TEXT(Table1[[#This Row],[Admission Date]],"MMMM")</f>
        <v>July</v>
      </c>
      <c r="J380">
        <v>7</v>
      </c>
      <c r="K380">
        <v>37793</v>
      </c>
    </row>
    <row r="381" spans="1:11" x14ac:dyDescent="0.3">
      <c r="A381" t="s">
        <v>546</v>
      </c>
      <c r="B381" t="s">
        <v>26</v>
      </c>
      <c r="C381">
        <v>7</v>
      </c>
      <c r="D381" t="s">
        <v>13</v>
      </c>
      <c r="E381" t="s">
        <v>103</v>
      </c>
      <c r="F381" t="s">
        <v>24</v>
      </c>
      <c r="G381" s="1">
        <v>45956</v>
      </c>
      <c r="H381" s="1">
        <v>45970</v>
      </c>
      <c r="I381" s="1" t="str">
        <f>TEXT(Table1[[#This Row],[Admission Date]],"MMMM")</f>
        <v>October</v>
      </c>
      <c r="J381">
        <v>14</v>
      </c>
      <c r="K381">
        <v>97370</v>
      </c>
    </row>
    <row r="382" spans="1:11" x14ac:dyDescent="0.3">
      <c r="A382" t="s">
        <v>547</v>
      </c>
      <c r="B382" t="s">
        <v>192</v>
      </c>
      <c r="C382">
        <v>64</v>
      </c>
      <c r="D382" t="s">
        <v>13</v>
      </c>
      <c r="E382" t="s">
        <v>19</v>
      </c>
      <c r="F382" t="s">
        <v>24</v>
      </c>
      <c r="G382" s="1">
        <v>45719</v>
      </c>
      <c r="H382" s="1">
        <v>45727</v>
      </c>
      <c r="I382" s="1" t="str">
        <f>TEXT(Table1[[#This Row],[Admission Date]],"MMMM")</f>
        <v>March</v>
      </c>
      <c r="J382">
        <v>8</v>
      </c>
      <c r="K382">
        <v>63712</v>
      </c>
    </row>
    <row r="383" spans="1:11" x14ac:dyDescent="0.3">
      <c r="A383" t="s">
        <v>548</v>
      </c>
      <c r="B383" t="s">
        <v>45</v>
      </c>
      <c r="C383">
        <v>20</v>
      </c>
      <c r="D383" t="s">
        <v>13</v>
      </c>
      <c r="E383" t="s">
        <v>34</v>
      </c>
      <c r="F383" t="s">
        <v>43</v>
      </c>
      <c r="G383" s="1">
        <v>45984</v>
      </c>
      <c r="H383" s="1">
        <v>45986</v>
      </c>
      <c r="I383" s="1" t="str">
        <f>TEXT(Table1[[#This Row],[Admission Date]],"MMMM")</f>
        <v>November</v>
      </c>
      <c r="J383">
        <v>2</v>
      </c>
      <c r="K383">
        <v>14386</v>
      </c>
    </row>
    <row r="384" spans="1:11" x14ac:dyDescent="0.3">
      <c r="A384" t="s">
        <v>549</v>
      </c>
      <c r="B384" t="s">
        <v>335</v>
      </c>
      <c r="C384">
        <v>34</v>
      </c>
      <c r="D384" t="s">
        <v>13</v>
      </c>
      <c r="E384" t="s">
        <v>31</v>
      </c>
      <c r="F384" t="s">
        <v>24</v>
      </c>
      <c r="G384" s="1">
        <v>45870</v>
      </c>
      <c r="H384" s="1">
        <v>45871</v>
      </c>
      <c r="I384" s="1" t="str">
        <f>TEXT(Table1[[#This Row],[Admission Date]],"MMMM")</f>
        <v>August</v>
      </c>
      <c r="J384">
        <v>1</v>
      </c>
      <c r="K384">
        <v>10815</v>
      </c>
    </row>
    <row r="385" spans="1:11" x14ac:dyDescent="0.3">
      <c r="A385" t="s">
        <v>550</v>
      </c>
      <c r="B385" t="s">
        <v>551</v>
      </c>
      <c r="C385">
        <v>50</v>
      </c>
      <c r="D385" t="s">
        <v>13</v>
      </c>
      <c r="E385" t="s">
        <v>40</v>
      </c>
      <c r="F385" t="s">
        <v>28</v>
      </c>
      <c r="G385" s="1">
        <v>45910</v>
      </c>
      <c r="H385" s="1">
        <v>45917</v>
      </c>
      <c r="I385" s="1" t="str">
        <f>TEXT(Table1[[#This Row],[Admission Date]],"MMMM")</f>
        <v>September</v>
      </c>
      <c r="J385">
        <v>7</v>
      </c>
      <c r="K385">
        <v>72331</v>
      </c>
    </row>
    <row r="386" spans="1:11" x14ac:dyDescent="0.3">
      <c r="A386" t="s">
        <v>552</v>
      </c>
      <c r="B386" t="s">
        <v>208</v>
      </c>
      <c r="C386">
        <v>22</v>
      </c>
      <c r="D386" t="s">
        <v>13</v>
      </c>
      <c r="E386" t="s">
        <v>19</v>
      </c>
      <c r="F386" t="s">
        <v>28</v>
      </c>
      <c r="G386" s="1">
        <v>45849</v>
      </c>
      <c r="H386" s="1">
        <v>45858</v>
      </c>
      <c r="I386" s="1" t="str">
        <f>TEXT(Table1[[#This Row],[Admission Date]],"MMMM")</f>
        <v>July</v>
      </c>
      <c r="J386">
        <v>9</v>
      </c>
      <c r="K386">
        <v>99918</v>
      </c>
    </row>
    <row r="387" spans="1:11" x14ac:dyDescent="0.3">
      <c r="A387" t="s">
        <v>553</v>
      </c>
      <c r="B387" t="s">
        <v>157</v>
      </c>
      <c r="C387">
        <v>19</v>
      </c>
      <c r="D387" t="s">
        <v>13</v>
      </c>
      <c r="E387" t="s">
        <v>23</v>
      </c>
      <c r="F387" t="s">
        <v>35</v>
      </c>
      <c r="G387" s="1">
        <v>45757</v>
      </c>
      <c r="H387" s="1">
        <v>45760</v>
      </c>
      <c r="I387" s="1" t="str">
        <f>TEXT(Table1[[#This Row],[Admission Date]],"MMMM")</f>
        <v>April</v>
      </c>
      <c r="J387">
        <v>3</v>
      </c>
      <c r="K387">
        <v>32208</v>
      </c>
    </row>
    <row r="388" spans="1:11" x14ac:dyDescent="0.3">
      <c r="A388" t="s">
        <v>554</v>
      </c>
      <c r="B388" t="s">
        <v>555</v>
      </c>
      <c r="C388">
        <v>43</v>
      </c>
      <c r="D388" t="s">
        <v>13</v>
      </c>
      <c r="E388" t="s">
        <v>34</v>
      </c>
      <c r="F388" t="s">
        <v>15</v>
      </c>
      <c r="G388" s="1">
        <v>45930</v>
      </c>
      <c r="H388" s="1">
        <v>45945</v>
      </c>
      <c r="I388" s="1" t="str">
        <f>TEXT(Table1[[#This Row],[Admission Date]],"MMMM")</f>
        <v>September</v>
      </c>
      <c r="J388">
        <v>15</v>
      </c>
      <c r="K388">
        <v>114030</v>
      </c>
    </row>
    <row r="389" spans="1:11" x14ac:dyDescent="0.3">
      <c r="A389" t="s">
        <v>556</v>
      </c>
      <c r="B389" t="s">
        <v>152</v>
      </c>
      <c r="C389">
        <v>9</v>
      </c>
      <c r="D389" t="s">
        <v>13</v>
      </c>
      <c r="E389" t="s">
        <v>46</v>
      </c>
      <c r="F389" t="s">
        <v>15</v>
      </c>
      <c r="G389" s="1">
        <v>46010</v>
      </c>
      <c r="H389" s="1">
        <v>46016</v>
      </c>
      <c r="I389" s="1" t="str">
        <f>TEXT(Table1[[#This Row],[Admission Date]],"MMMM")</f>
        <v>December</v>
      </c>
      <c r="J389">
        <v>6</v>
      </c>
      <c r="K389">
        <v>54048</v>
      </c>
    </row>
    <row r="390" spans="1:11" x14ac:dyDescent="0.3">
      <c r="A390" t="s">
        <v>557</v>
      </c>
      <c r="B390" t="s">
        <v>143</v>
      </c>
      <c r="C390">
        <v>60</v>
      </c>
      <c r="D390" t="s">
        <v>18</v>
      </c>
      <c r="E390" t="s">
        <v>23</v>
      </c>
      <c r="F390" t="s">
        <v>20</v>
      </c>
      <c r="G390" s="1">
        <v>45858</v>
      </c>
      <c r="H390" s="1">
        <v>45866</v>
      </c>
      <c r="I390" s="1" t="str">
        <f>TEXT(Table1[[#This Row],[Admission Date]],"MMMM")</f>
        <v>July</v>
      </c>
      <c r="J390">
        <v>8</v>
      </c>
      <c r="K390">
        <v>55408</v>
      </c>
    </row>
    <row r="391" spans="1:11" x14ac:dyDescent="0.3">
      <c r="A391" t="s">
        <v>558</v>
      </c>
      <c r="B391" t="s">
        <v>260</v>
      </c>
      <c r="C391">
        <v>23</v>
      </c>
      <c r="D391" t="s">
        <v>13</v>
      </c>
      <c r="E391" t="s">
        <v>34</v>
      </c>
      <c r="F391" t="s">
        <v>63</v>
      </c>
      <c r="G391" s="1">
        <v>45829</v>
      </c>
      <c r="H391" s="1">
        <v>45841</v>
      </c>
      <c r="I391" s="1" t="str">
        <f>TEXT(Table1[[#This Row],[Admission Date]],"MMMM")</f>
        <v>June</v>
      </c>
      <c r="J391">
        <v>12</v>
      </c>
      <c r="K391">
        <v>59028</v>
      </c>
    </row>
    <row r="392" spans="1:11" x14ac:dyDescent="0.3">
      <c r="A392" t="s">
        <v>559</v>
      </c>
      <c r="B392" t="s">
        <v>75</v>
      </c>
      <c r="C392">
        <v>73</v>
      </c>
      <c r="D392" t="s">
        <v>13</v>
      </c>
      <c r="E392" t="s">
        <v>49</v>
      </c>
      <c r="F392" t="s">
        <v>63</v>
      </c>
      <c r="G392" s="1">
        <v>45750</v>
      </c>
      <c r="H392" s="1">
        <v>45762</v>
      </c>
      <c r="I392" s="1" t="str">
        <f>TEXT(Table1[[#This Row],[Admission Date]],"MMMM")</f>
        <v>April</v>
      </c>
      <c r="J392">
        <v>12</v>
      </c>
      <c r="K392">
        <v>103572</v>
      </c>
    </row>
    <row r="393" spans="1:11" x14ac:dyDescent="0.3">
      <c r="A393" t="s">
        <v>560</v>
      </c>
      <c r="B393" t="s">
        <v>97</v>
      </c>
      <c r="C393">
        <v>17</v>
      </c>
      <c r="D393" t="s">
        <v>13</v>
      </c>
      <c r="E393" t="s">
        <v>19</v>
      </c>
      <c r="F393" t="s">
        <v>63</v>
      </c>
      <c r="G393" s="1">
        <v>46004</v>
      </c>
      <c r="H393" s="1">
        <v>46019</v>
      </c>
      <c r="I393" s="1" t="str">
        <f>TEXT(Table1[[#This Row],[Admission Date]],"MMMM")</f>
        <v>December</v>
      </c>
      <c r="J393">
        <v>15</v>
      </c>
      <c r="K393">
        <v>79050</v>
      </c>
    </row>
    <row r="394" spans="1:11" x14ac:dyDescent="0.3">
      <c r="A394" t="s">
        <v>561</v>
      </c>
      <c r="B394" t="s">
        <v>376</v>
      </c>
      <c r="C394">
        <v>78</v>
      </c>
      <c r="D394" t="s">
        <v>18</v>
      </c>
      <c r="E394" t="s">
        <v>46</v>
      </c>
      <c r="F394" t="s">
        <v>28</v>
      </c>
      <c r="G394" s="1">
        <v>45880</v>
      </c>
      <c r="H394" s="1">
        <v>45882</v>
      </c>
      <c r="I394" s="1" t="str">
        <f>TEXT(Table1[[#This Row],[Admission Date]],"MMMM")</f>
        <v>August</v>
      </c>
      <c r="J394">
        <v>2</v>
      </c>
      <c r="K394">
        <v>12170</v>
      </c>
    </row>
    <row r="395" spans="1:11" x14ac:dyDescent="0.3">
      <c r="A395" t="s">
        <v>562</v>
      </c>
      <c r="B395" t="s">
        <v>30</v>
      </c>
      <c r="C395">
        <v>81</v>
      </c>
      <c r="D395" t="s">
        <v>13</v>
      </c>
      <c r="E395" t="s">
        <v>103</v>
      </c>
      <c r="F395" t="s">
        <v>20</v>
      </c>
      <c r="G395" s="1">
        <v>45800</v>
      </c>
      <c r="H395" s="1">
        <v>45809</v>
      </c>
      <c r="I395" s="1" t="str">
        <f>TEXT(Table1[[#This Row],[Admission Date]],"MMMM")</f>
        <v>May</v>
      </c>
      <c r="J395">
        <v>9</v>
      </c>
      <c r="K395">
        <v>53595</v>
      </c>
    </row>
    <row r="396" spans="1:11" x14ac:dyDescent="0.3">
      <c r="A396" t="s">
        <v>563</v>
      </c>
      <c r="B396" t="s">
        <v>45</v>
      </c>
      <c r="C396">
        <v>74</v>
      </c>
      <c r="D396" t="s">
        <v>13</v>
      </c>
      <c r="E396" t="s">
        <v>27</v>
      </c>
      <c r="F396" t="s">
        <v>35</v>
      </c>
      <c r="G396" s="1">
        <v>45803</v>
      </c>
      <c r="H396" s="1">
        <v>45813</v>
      </c>
      <c r="I396" s="1" t="str">
        <f>TEXT(Table1[[#This Row],[Admission Date]],"MMMM")</f>
        <v>May</v>
      </c>
      <c r="J396">
        <v>10</v>
      </c>
      <c r="K396">
        <v>50590</v>
      </c>
    </row>
    <row r="397" spans="1:11" x14ac:dyDescent="0.3">
      <c r="A397" t="s">
        <v>564</v>
      </c>
      <c r="B397" t="s">
        <v>138</v>
      </c>
      <c r="C397">
        <v>20</v>
      </c>
      <c r="D397" t="s">
        <v>13</v>
      </c>
      <c r="E397" t="s">
        <v>27</v>
      </c>
      <c r="F397" t="s">
        <v>43</v>
      </c>
      <c r="G397" s="1">
        <v>45918</v>
      </c>
      <c r="H397" s="1">
        <v>45919</v>
      </c>
      <c r="I397" s="1" t="str">
        <f>TEXT(Table1[[#This Row],[Admission Date]],"MMMM")</f>
        <v>September</v>
      </c>
      <c r="J397">
        <v>1</v>
      </c>
      <c r="K397">
        <v>10569</v>
      </c>
    </row>
    <row r="398" spans="1:11" x14ac:dyDescent="0.3">
      <c r="A398" t="s">
        <v>565</v>
      </c>
      <c r="B398" t="s">
        <v>465</v>
      </c>
      <c r="C398">
        <v>67</v>
      </c>
      <c r="D398" t="s">
        <v>18</v>
      </c>
      <c r="E398" t="s">
        <v>23</v>
      </c>
      <c r="F398" t="s">
        <v>35</v>
      </c>
      <c r="G398" s="1">
        <v>45723</v>
      </c>
      <c r="H398" s="1">
        <v>45734</v>
      </c>
      <c r="I398" s="1" t="str">
        <f>TEXT(Table1[[#This Row],[Admission Date]],"MMMM")</f>
        <v>March</v>
      </c>
      <c r="J398">
        <v>11</v>
      </c>
      <c r="K398">
        <v>71379</v>
      </c>
    </row>
    <row r="399" spans="1:11" x14ac:dyDescent="0.3">
      <c r="A399" t="s">
        <v>566</v>
      </c>
      <c r="B399" t="s">
        <v>304</v>
      </c>
      <c r="C399">
        <v>44</v>
      </c>
      <c r="D399" t="s">
        <v>13</v>
      </c>
      <c r="E399" t="s">
        <v>31</v>
      </c>
      <c r="F399" t="s">
        <v>24</v>
      </c>
      <c r="G399" s="1">
        <v>45775</v>
      </c>
      <c r="H399" s="1">
        <v>45790</v>
      </c>
      <c r="I399" s="1" t="str">
        <f>TEXT(Table1[[#This Row],[Admission Date]],"MMMM")</f>
        <v>April</v>
      </c>
      <c r="J399">
        <v>15</v>
      </c>
      <c r="K399">
        <v>179370</v>
      </c>
    </row>
    <row r="400" spans="1:11" x14ac:dyDescent="0.3">
      <c r="A400" t="s">
        <v>567</v>
      </c>
      <c r="B400" t="s">
        <v>367</v>
      </c>
      <c r="C400">
        <v>54</v>
      </c>
      <c r="D400" t="s">
        <v>18</v>
      </c>
      <c r="E400" t="s">
        <v>31</v>
      </c>
      <c r="F400" t="s">
        <v>35</v>
      </c>
      <c r="G400" s="1">
        <v>45855</v>
      </c>
      <c r="H400" s="1">
        <v>45870</v>
      </c>
      <c r="I400" s="1" t="str">
        <f>TEXT(Table1[[#This Row],[Admission Date]],"MMMM")</f>
        <v>July</v>
      </c>
      <c r="J400">
        <v>15</v>
      </c>
      <c r="K400">
        <v>143610</v>
      </c>
    </row>
    <row r="401" spans="1:11" x14ac:dyDescent="0.3">
      <c r="A401" t="s">
        <v>568</v>
      </c>
      <c r="B401" t="s">
        <v>157</v>
      </c>
      <c r="C401">
        <v>85</v>
      </c>
      <c r="D401" t="s">
        <v>13</v>
      </c>
      <c r="E401" t="s">
        <v>46</v>
      </c>
      <c r="F401" t="s">
        <v>20</v>
      </c>
      <c r="G401" s="1">
        <v>45824</v>
      </c>
      <c r="H401" s="1">
        <v>45839</v>
      </c>
      <c r="I401" s="1" t="str">
        <f>TEXT(Table1[[#This Row],[Admission Date]],"MMMM")</f>
        <v>June</v>
      </c>
      <c r="J401">
        <v>15</v>
      </c>
      <c r="K401">
        <v>145845</v>
      </c>
    </row>
    <row r="402" spans="1:11" x14ac:dyDescent="0.3">
      <c r="A402" t="s">
        <v>569</v>
      </c>
      <c r="B402" t="s">
        <v>485</v>
      </c>
      <c r="C402">
        <v>37</v>
      </c>
      <c r="D402" t="s">
        <v>18</v>
      </c>
      <c r="E402" t="s">
        <v>103</v>
      </c>
      <c r="F402" t="s">
        <v>15</v>
      </c>
      <c r="G402" s="1">
        <v>45950</v>
      </c>
      <c r="H402" s="1">
        <v>45959</v>
      </c>
      <c r="I402" s="1" t="str">
        <f>TEXT(Table1[[#This Row],[Admission Date]],"MMMM")</f>
        <v>October</v>
      </c>
      <c r="J402">
        <v>9</v>
      </c>
      <c r="K402">
        <v>72126</v>
      </c>
    </row>
    <row r="403" spans="1:11" x14ac:dyDescent="0.3">
      <c r="A403" t="s">
        <v>570</v>
      </c>
      <c r="B403" t="s">
        <v>412</v>
      </c>
      <c r="C403">
        <v>12</v>
      </c>
      <c r="D403" t="s">
        <v>18</v>
      </c>
      <c r="E403" t="s">
        <v>46</v>
      </c>
      <c r="F403" t="s">
        <v>63</v>
      </c>
      <c r="G403" s="1">
        <v>45964</v>
      </c>
      <c r="H403" s="1">
        <v>45966</v>
      </c>
      <c r="I403" s="1" t="str">
        <f>TEXT(Table1[[#This Row],[Admission Date]],"MMMM")</f>
        <v>November</v>
      </c>
      <c r="J403">
        <v>2</v>
      </c>
      <c r="K403">
        <v>12256</v>
      </c>
    </row>
    <row r="404" spans="1:11" x14ac:dyDescent="0.3">
      <c r="A404" t="s">
        <v>571</v>
      </c>
      <c r="B404" t="s">
        <v>115</v>
      </c>
      <c r="C404">
        <v>88</v>
      </c>
      <c r="D404" t="s">
        <v>13</v>
      </c>
      <c r="E404" t="s">
        <v>49</v>
      </c>
      <c r="F404" t="s">
        <v>20</v>
      </c>
      <c r="G404" s="1">
        <v>45689</v>
      </c>
      <c r="H404" s="1">
        <v>45696</v>
      </c>
      <c r="I404" s="1" t="str">
        <f>TEXT(Table1[[#This Row],[Admission Date]],"MMMM")</f>
        <v>February</v>
      </c>
      <c r="J404">
        <v>7</v>
      </c>
      <c r="K404">
        <v>61068</v>
      </c>
    </row>
    <row r="405" spans="1:11" x14ac:dyDescent="0.3">
      <c r="A405" t="s">
        <v>572</v>
      </c>
      <c r="B405" t="s">
        <v>304</v>
      </c>
      <c r="C405">
        <v>66</v>
      </c>
      <c r="D405" t="s">
        <v>13</v>
      </c>
      <c r="E405" t="s">
        <v>14</v>
      </c>
      <c r="F405" t="s">
        <v>15</v>
      </c>
      <c r="G405" s="1">
        <v>46009</v>
      </c>
      <c r="H405" s="1">
        <v>46019</v>
      </c>
      <c r="I405" s="1" t="str">
        <f>TEXT(Table1[[#This Row],[Admission Date]],"MMMM")</f>
        <v>December</v>
      </c>
      <c r="J405">
        <v>10</v>
      </c>
      <c r="K405">
        <v>89460</v>
      </c>
    </row>
    <row r="406" spans="1:11" x14ac:dyDescent="0.3">
      <c r="A406" t="s">
        <v>573</v>
      </c>
      <c r="B406" t="s">
        <v>362</v>
      </c>
      <c r="C406">
        <v>23</v>
      </c>
      <c r="D406" t="s">
        <v>18</v>
      </c>
      <c r="E406" t="s">
        <v>103</v>
      </c>
      <c r="F406" t="s">
        <v>35</v>
      </c>
      <c r="G406" s="1">
        <v>45743</v>
      </c>
      <c r="H406" s="1">
        <v>45744</v>
      </c>
      <c r="I406" s="1" t="str">
        <f>TEXT(Table1[[#This Row],[Admission Date]],"MMMM")</f>
        <v>March</v>
      </c>
      <c r="J406">
        <v>1</v>
      </c>
      <c r="K406">
        <v>5296</v>
      </c>
    </row>
    <row r="407" spans="1:11" x14ac:dyDescent="0.3">
      <c r="A407" t="s">
        <v>574</v>
      </c>
      <c r="B407" t="s">
        <v>119</v>
      </c>
      <c r="C407">
        <v>81</v>
      </c>
      <c r="D407" t="s">
        <v>13</v>
      </c>
      <c r="E407" t="s">
        <v>46</v>
      </c>
      <c r="F407" t="s">
        <v>24</v>
      </c>
      <c r="G407" s="1">
        <v>45869</v>
      </c>
      <c r="H407" s="1">
        <v>45881</v>
      </c>
      <c r="I407" s="1" t="str">
        <f>TEXT(Table1[[#This Row],[Admission Date]],"MMMM")</f>
        <v>July</v>
      </c>
      <c r="J407">
        <v>12</v>
      </c>
      <c r="K407">
        <v>140400</v>
      </c>
    </row>
    <row r="408" spans="1:11" x14ac:dyDescent="0.3">
      <c r="A408" t="s">
        <v>575</v>
      </c>
      <c r="B408" t="s">
        <v>276</v>
      </c>
      <c r="C408">
        <v>62</v>
      </c>
      <c r="D408" t="s">
        <v>18</v>
      </c>
      <c r="E408" t="s">
        <v>49</v>
      </c>
      <c r="F408" t="s">
        <v>63</v>
      </c>
      <c r="G408" s="1">
        <v>45977</v>
      </c>
      <c r="H408" s="1">
        <v>45991</v>
      </c>
      <c r="I408" s="1" t="str">
        <f>TEXT(Table1[[#This Row],[Admission Date]],"MMMM")</f>
        <v>November</v>
      </c>
      <c r="J408">
        <v>14</v>
      </c>
      <c r="K408">
        <v>119938</v>
      </c>
    </row>
    <row r="409" spans="1:11" x14ac:dyDescent="0.3">
      <c r="A409" t="s">
        <v>576</v>
      </c>
      <c r="B409" t="s">
        <v>200</v>
      </c>
      <c r="C409">
        <v>2</v>
      </c>
      <c r="D409" t="s">
        <v>18</v>
      </c>
      <c r="E409" t="s">
        <v>23</v>
      </c>
      <c r="F409" t="s">
        <v>63</v>
      </c>
      <c r="G409" s="1">
        <v>45936</v>
      </c>
      <c r="H409" s="1">
        <v>45947</v>
      </c>
      <c r="I409" s="1" t="str">
        <f>TEXT(Table1[[#This Row],[Admission Date]],"MMMM")</f>
        <v>October</v>
      </c>
      <c r="J409">
        <v>11</v>
      </c>
      <c r="K409">
        <v>70576</v>
      </c>
    </row>
    <row r="410" spans="1:11" x14ac:dyDescent="0.3">
      <c r="A410" t="s">
        <v>577</v>
      </c>
      <c r="B410" t="s">
        <v>90</v>
      </c>
      <c r="C410">
        <v>20</v>
      </c>
      <c r="D410" t="s">
        <v>13</v>
      </c>
      <c r="E410" t="s">
        <v>23</v>
      </c>
      <c r="F410" t="s">
        <v>28</v>
      </c>
      <c r="G410" s="1">
        <v>45714</v>
      </c>
      <c r="H410" s="1">
        <v>45717</v>
      </c>
      <c r="I410" s="1" t="str">
        <f>TEXT(Table1[[#This Row],[Admission Date]],"MMMM")</f>
        <v>February</v>
      </c>
      <c r="J410">
        <v>3</v>
      </c>
      <c r="K410">
        <v>30087</v>
      </c>
    </row>
    <row r="411" spans="1:11" x14ac:dyDescent="0.3">
      <c r="A411" t="s">
        <v>578</v>
      </c>
      <c r="B411" t="s">
        <v>342</v>
      </c>
      <c r="C411">
        <v>1</v>
      </c>
      <c r="D411" t="s">
        <v>18</v>
      </c>
      <c r="E411" t="s">
        <v>19</v>
      </c>
      <c r="F411" t="s">
        <v>20</v>
      </c>
      <c r="G411" s="1">
        <v>45675</v>
      </c>
      <c r="H411" s="1">
        <v>45687</v>
      </c>
      <c r="I411" s="1" t="str">
        <f>TEXT(Table1[[#This Row],[Admission Date]],"MMMM")</f>
        <v>January</v>
      </c>
      <c r="J411">
        <v>12</v>
      </c>
      <c r="K411">
        <v>138720</v>
      </c>
    </row>
    <row r="412" spans="1:11" x14ac:dyDescent="0.3">
      <c r="A412" t="s">
        <v>579</v>
      </c>
      <c r="B412" t="s">
        <v>580</v>
      </c>
      <c r="C412">
        <v>20</v>
      </c>
      <c r="D412" t="s">
        <v>18</v>
      </c>
      <c r="E412" t="s">
        <v>27</v>
      </c>
      <c r="F412" t="s">
        <v>20</v>
      </c>
      <c r="G412" s="1">
        <v>45878</v>
      </c>
      <c r="H412" s="1">
        <v>45893</v>
      </c>
      <c r="I412" s="1" t="str">
        <f>TEXT(Table1[[#This Row],[Admission Date]],"MMMM")</f>
        <v>August</v>
      </c>
      <c r="J412">
        <v>15</v>
      </c>
      <c r="K412">
        <v>80655</v>
      </c>
    </row>
    <row r="413" spans="1:11" x14ac:dyDescent="0.3">
      <c r="A413" t="s">
        <v>581</v>
      </c>
      <c r="B413" t="s">
        <v>265</v>
      </c>
      <c r="C413">
        <v>54</v>
      </c>
      <c r="D413" t="s">
        <v>18</v>
      </c>
      <c r="E413" t="s">
        <v>40</v>
      </c>
      <c r="F413" t="s">
        <v>28</v>
      </c>
      <c r="G413" s="1">
        <v>45837</v>
      </c>
      <c r="H413" s="1">
        <v>45849</v>
      </c>
      <c r="I413" s="1" t="str">
        <f>TEXT(Table1[[#This Row],[Admission Date]],"MMMM")</f>
        <v>June</v>
      </c>
      <c r="J413">
        <v>12</v>
      </c>
      <c r="K413">
        <v>104232</v>
      </c>
    </row>
    <row r="414" spans="1:11" x14ac:dyDescent="0.3">
      <c r="A414" t="s">
        <v>582</v>
      </c>
      <c r="B414" t="s">
        <v>188</v>
      </c>
      <c r="C414">
        <v>12</v>
      </c>
      <c r="D414" t="s">
        <v>13</v>
      </c>
      <c r="E414" t="s">
        <v>27</v>
      </c>
      <c r="F414" t="s">
        <v>15</v>
      </c>
      <c r="G414" s="1">
        <v>45752</v>
      </c>
      <c r="H414" s="1">
        <v>45762</v>
      </c>
      <c r="I414" s="1" t="str">
        <f>TEXT(Table1[[#This Row],[Admission Date]],"MMMM")</f>
        <v>April</v>
      </c>
      <c r="J414">
        <v>10</v>
      </c>
      <c r="K414">
        <v>97370</v>
      </c>
    </row>
    <row r="415" spans="1:11" x14ac:dyDescent="0.3">
      <c r="A415" t="s">
        <v>583</v>
      </c>
      <c r="B415" t="s">
        <v>22</v>
      </c>
      <c r="C415">
        <v>88</v>
      </c>
      <c r="D415" t="s">
        <v>13</v>
      </c>
      <c r="E415" t="s">
        <v>40</v>
      </c>
      <c r="F415" t="s">
        <v>15</v>
      </c>
      <c r="G415" s="1">
        <v>45661</v>
      </c>
      <c r="H415" s="1">
        <v>45667</v>
      </c>
      <c r="I415" s="1" t="str">
        <f>TEXT(Table1[[#This Row],[Admission Date]],"MMMM")</f>
        <v>January</v>
      </c>
      <c r="J415">
        <v>6</v>
      </c>
      <c r="K415">
        <v>26760</v>
      </c>
    </row>
    <row r="416" spans="1:11" x14ac:dyDescent="0.3">
      <c r="A416" t="s">
        <v>584</v>
      </c>
      <c r="B416" t="s">
        <v>432</v>
      </c>
      <c r="C416">
        <v>70</v>
      </c>
      <c r="D416" t="s">
        <v>13</v>
      </c>
      <c r="E416" t="s">
        <v>49</v>
      </c>
      <c r="F416" t="s">
        <v>43</v>
      </c>
      <c r="G416" s="1">
        <v>45848</v>
      </c>
      <c r="H416" s="1">
        <v>45863</v>
      </c>
      <c r="I416" s="1" t="str">
        <f>TEXT(Table1[[#This Row],[Admission Date]],"MMMM")</f>
        <v>July</v>
      </c>
      <c r="J416">
        <v>15</v>
      </c>
      <c r="K416">
        <v>100305</v>
      </c>
    </row>
    <row r="417" spans="1:11" x14ac:dyDescent="0.3">
      <c r="A417" t="s">
        <v>585</v>
      </c>
      <c r="B417" t="s">
        <v>344</v>
      </c>
      <c r="C417">
        <v>56</v>
      </c>
      <c r="D417" t="s">
        <v>18</v>
      </c>
      <c r="E417" t="s">
        <v>27</v>
      </c>
      <c r="F417" t="s">
        <v>63</v>
      </c>
      <c r="G417" s="1">
        <v>45787</v>
      </c>
      <c r="H417" s="1">
        <v>45790</v>
      </c>
      <c r="I417" s="1" t="str">
        <f>TEXT(Table1[[#This Row],[Admission Date]],"MMMM")</f>
        <v>May</v>
      </c>
      <c r="J417">
        <v>3</v>
      </c>
      <c r="K417">
        <v>12888</v>
      </c>
    </row>
    <row r="418" spans="1:11" x14ac:dyDescent="0.3">
      <c r="A418" t="s">
        <v>586</v>
      </c>
      <c r="B418" t="s">
        <v>87</v>
      </c>
      <c r="C418">
        <v>26</v>
      </c>
      <c r="D418" t="s">
        <v>18</v>
      </c>
      <c r="E418" t="s">
        <v>49</v>
      </c>
      <c r="F418" t="s">
        <v>20</v>
      </c>
      <c r="G418" s="1">
        <v>45759</v>
      </c>
      <c r="H418" s="1">
        <v>45768</v>
      </c>
      <c r="I418" s="1" t="str">
        <f>TEXT(Table1[[#This Row],[Admission Date]],"MMMM")</f>
        <v>April</v>
      </c>
      <c r="J418">
        <v>9</v>
      </c>
      <c r="K418">
        <v>84852</v>
      </c>
    </row>
    <row r="419" spans="1:11" x14ac:dyDescent="0.3">
      <c r="A419" t="s">
        <v>587</v>
      </c>
      <c r="B419" t="s">
        <v>482</v>
      </c>
      <c r="C419">
        <v>90</v>
      </c>
      <c r="D419" t="s">
        <v>13</v>
      </c>
      <c r="E419" t="s">
        <v>27</v>
      </c>
      <c r="F419" t="s">
        <v>15</v>
      </c>
      <c r="G419" s="1">
        <v>45720</v>
      </c>
      <c r="H419" s="1">
        <v>45734</v>
      </c>
      <c r="I419" s="1" t="str">
        <f>TEXT(Table1[[#This Row],[Admission Date]],"MMMM")</f>
        <v>March</v>
      </c>
      <c r="J419">
        <v>14</v>
      </c>
      <c r="K419">
        <v>115528</v>
      </c>
    </row>
    <row r="420" spans="1:11" x14ac:dyDescent="0.3">
      <c r="A420" t="s">
        <v>588</v>
      </c>
      <c r="B420" t="s">
        <v>179</v>
      </c>
      <c r="C420">
        <v>16</v>
      </c>
      <c r="D420" t="s">
        <v>13</v>
      </c>
      <c r="E420" t="s">
        <v>23</v>
      </c>
      <c r="F420" t="s">
        <v>24</v>
      </c>
      <c r="G420" s="1">
        <v>46013</v>
      </c>
      <c r="H420" s="1">
        <v>46020</v>
      </c>
      <c r="I420" s="1" t="str">
        <f>TEXT(Table1[[#This Row],[Admission Date]],"MMMM")</f>
        <v>December</v>
      </c>
      <c r="J420">
        <v>7</v>
      </c>
      <c r="K420">
        <v>48412</v>
      </c>
    </row>
    <row r="421" spans="1:11" x14ac:dyDescent="0.3">
      <c r="A421" t="s">
        <v>589</v>
      </c>
      <c r="B421" t="s">
        <v>87</v>
      </c>
      <c r="C421">
        <v>15</v>
      </c>
      <c r="D421" t="s">
        <v>18</v>
      </c>
      <c r="E421" t="s">
        <v>49</v>
      </c>
      <c r="F421" t="s">
        <v>15</v>
      </c>
      <c r="G421" s="1">
        <v>45800</v>
      </c>
      <c r="H421" s="1">
        <v>45813</v>
      </c>
      <c r="I421" s="1" t="str">
        <f>TEXT(Table1[[#This Row],[Admission Date]],"MMMM")</f>
        <v>May</v>
      </c>
      <c r="J421">
        <v>13</v>
      </c>
      <c r="K421">
        <v>118898</v>
      </c>
    </row>
    <row r="422" spans="1:11" x14ac:dyDescent="0.3">
      <c r="A422" t="s">
        <v>590</v>
      </c>
      <c r="B422" t="s">
        <v>344</v>
      </c>
      <c r="C422">
        <v>42</v>
      </c>
      <c r="D422" t="s">
        <v>18</v>
      </c>
      <c r="E422" t="s">
        <v>14</v>
      </c>
      <c r="F422" t="s">
        <v>20</v>
      </c>
      <c r="G422" s="1">
        <v>45783</v>
      </c>
      <c r="H422" s="1">
        <v>45795</v>
      </c>
      <c r="I422" s="1" t="str">
        <f>TEXT(Table1[[#This Row],[Admission Date]],"MMMM")</f>
        <v>May</v>
      </c>
      <c r="J422">
        <v>12</v>
      </c>
      <c r="K422">
        <v>130812</v>
      </c>
    </row>
    <row r="423" spans="1:11" x14ac:dyDescent="0.3">
      <c r="A423" t="s">
        <v>591</v>
      </c>
      <c r="B423" t="s">
        <v>331</v>
      </c>
      <c r="C423">
        <v>57</v>
      </c>
      <c r="D423" t="s">
        <v>13</v>
      </c>
      <c r="E423" t="s">
        <v>46</v>
      </c>
      <c r="F423" t="s">
        <v>35</v>
      </c>
      <c r="G423" s="1">
        <v>45810</v>
      </c>
      <c r="H423" s="1">
        <v>45819</v>
      </c>
      <c r="I423" s="1" t="str">
        <f>TEXT(Table1[[#This Row],[Admission Date]],"MMMM")</f>
        <v>June</v>
      </c>
      <c r="J423">
        <v>9</v>
      </c>
      <c r="K423">
        <v>47574</v>
      </c>
    </row>
    <row r="424" spans="1:11" x14ac:dyDescent="0.3">
      <c r="A424" t="s">
        <v>592</v>
      </c>
      <c r="B424" t="s">
        <v>110</v>
      </c>
      <c r="C424">
        <v>27</v>
      </c>
      <c r="D424" t="s">
        <v>13</v>
      </c>
      <c r="E424" t="s">
        <v>27</v>
      </c>
      <c r="F424" t="s">
        <v>60</v>
      </c>
      <c r="G424" s="1">
        <v>45861</v>
      </c>
      <c r="H424" s="1">
        <v>45871</v>
      </c>
      <c r="I424" s="1" t="str">
        <f>TEXT(Table1[[#This Row],[Admission Date]],"MMMM")</f>
        <v>July</v>
      </c>
      <c r="J424">
        <v>10</v>
      </c>
      <c r="K424">
        <v>120000</v>
      </c>
    </row>
    <row r="425" spans="1:11" x14ac:dyDescent="0.3">
      <c r="A425" t="s">
        <v>593</v>
      </c>
      <c r="B425" t="s">
        <v>117</v>
      </c>
      <c r="C425">
        <v>47</v>
      </c>
      <c r="D425" t="s">
        <v>18</v>
      </c>
      <c r="E425" t="s">
        <v>40</v>
      </c>
      <c r="F425" t="s">
        <v>24</v>
      </c>
      <c r="G425" s="1">
        <v>45992</v>
      </c>
      <c r="H425" s="1">
        <v>46004</v>
      </c>
      <c r="I425" s="1" t="str">
        <f>TEXT(Table1[[#This Row],[Admission Date]],"MMMM")</f>
        <v>December</v>
      </c>
      <c r="J425">
        <v>12</v>
      </c>
      <c r="K425">
        <v>138084</v>
      </c>
    </row>
    <row r="426" spans="1:11" x14ac:dyDescent="0.3">
      <c r="A426" t="s">
        <v>594</v>
      </c>
      <c r="B426" t="s">
        <v>101</v>
      </c>
      <c r="C426">
        <v>50</v>
      </c>
      <c r="D426" t="s">
        <v>18</v>
      </c>
      <c r="E426" t="s">
        <v>23</v>
      </c>
      <c r="F426" t="s">
        <v>24</v>
      </c>
      <c r="G426" s="1">
        <v>45732</v>
      </c>
      <c r="H426" s="1">
        <v>45736</v>
      </c>
      <c r="I426" s="1" t="str">
        <f>TEXT(Table1[[#This Row],[Admission Date]],"MMMM")</f>
        <v>March</v>
      </c>
      <c r="J426">
        <v>4</v>
      </c>
      <c r="K426">
        <v>22636</v>
      </c>
    </row>
    <row r="427" spans="1:11" x14ac:dyDescent="0.3">
      <c r="A427" t="s">
        <v>595</v>
      </c>
      <c r="B427" t="s">
        <v>128</v>
      </c>
      <c r="C427">
        <v>36</v>
      </c>
      <c r="D427" t="s">
        <v>18</v>
      </c>
      <c r="E427" t="s">
        <v>23</v>
      </c>
      <c r="F427" t="s">
        <v>15</v>
      </c>
      <c r="G427" s="1">
        <v>45841</v>
      </c>
      <c r="H427" s="1">
        <v>45849</v>
      </c>
      <c r="I427" s="1" t="str">
        <f>TEXT(Table1[[#This Row],[Admission Date]],"MMMM")</f>
        <v>July</v>
      </c>
      <c r="J427">
        <v>8</v>
      </c>
      <c r="K427">
        <v>57104</v>
      </c>
    </row>
    <row r="428" spans="1:11" x14ac:dyDescent="0.3">
      <c r="A428" t="s">
        <v>596</v>
      </c>
      <c r="B428" t="s">
        <v>284</v>
      </c>
      <c r="C428">
        <v>13</v>
      </c>
      <c r="D428" t="s">
        <v>18</v>
      </c>
      <c r="E428" t="s">
        <v>49</v>
      </c>
      <c r="F428" t="s">
        <v>28</v>
      </c>
      <c r="G428" s="1">
        <v>45679</v>
      </c>
      <c r="H428" s="1">
        <v>45691</v>
      </c>
      <c r="I428" s="1" t="str">
        <f>TEXT(Table1[[#This Row],[Admission Date]],"MMMM")</f>
        <v>January</v>
      </c>
      <c r="J428">
        <v>12</v>
      </c>
      <c r="K428">
        <v>128808</v>
      </c>
    </row>
    <row r="429" spans="1:11" x14ac:dyDescent="0.3">
      <c r="A429" t="s">
        <v>597</v>
      </c>
      <c r="B429" t="s">
        <v>462</v>
      </c>
      <c r="C429">
        <v>58</v>
      </c>
      <c r="D429" t="s">
        <v>18</v>
      </c>
      <c r="E429" t="s">
        <v>27</v>
      </c>
      <c r="F429" t="s">
        <v>35</v>
      </c>
      <c r="G429" s="1">
        <v>45720</v>
      </c>
      <c r="H429" s="1">
        <v>45728</v>
      </c>
      <c r="I429" s="1" t="str">
        <f>TEXT(Table1[[#This Row],[Admission Date]],"MMMM")</f>
        <v>March</v>
      </c>
      <c r="J429">
        <v>8</v>
      </c>
      <c r="K429">
        <v>70840</v>
      </c>
    </row>
    <row r="430" spans="1:11" x14ac:dyDescent="0.3">
      <c r="A430" t="s">
        <v>598</v>
      </c>
      <c r="B430" t="s">
        <v>73</v>
      </c>
      <c r="C430">
        <v>76</v>
      </c>
      <c r="D430" t="s">
        <v>13</v>
      </c>
      <c r="E430" t="s">
        <v>103</v>
      </c>
      <c r="F430" t="s">
        <v>28</v>
      </c>
      <c r="G430" s="1">
        <v>45673</v>
      </c>
      <c r="H430" s="1">
        <v>45678</v>
      </c>
      <c r="I430" s="1" t="str">
        <f>TEXT(Table1[[#This Row],[Admission Date]],"MMMM")</f>
        <v>January</v>
      </c>
      <c r="J430">
        <v>5</v>
      </c>
      <c r="K430">
        <v>50985</v>
      </c>
    </row>
    <row r="431" spans="1:11" x14ac:dyDescent="0.3">
      <c r="A431" t="s">
        <v>599</v>
      </c>
      <c r="B431" t="s">
        <v>131</v>
      </c>
      <c r="C431">
        <v>33</v>
      </c>
      <c r="D431" t="s">
        <v>13</v>
      </c>
      <c r="E431" t="s">
        <v>40</v>
      </c>
      <c r="F431" t="s">
        <v>24</v>
      </c>
      <c r="G431" s="1">
        <v>45969</v>
      </c>
      <c r="H431" s="1">
        <v>45971</v>
      </c>
      <c r="I431" s="1" t="str">
        <f>TEXT(Table1[[#This Row],[Admission Date]],"MMMM")</f>
        <v>November</v>
      </c>
      <c r="J431">
        <v>2</v>
      </c>
      <c r="K431">
        <v>10104</v>
      </c>
    </row>
    <row r="432" spans="1:11" x14ac:dyDescent="0.3">
      <c r="A432" t="s">
        <v>600</v>
      </c>
      <c r="B432" t="s">
        <v>169</v>
      </c>
      <c r="C432">
        <v>70</v>
      </c>
      <c r="D432" t="s">
        <v>18</v>
      </c>
      <c r="E432" t="s">
        <v>103</v>
      </c>
      <c r="F432" t="s">
        <v>43</v>
      </c>
      <c r="G432" s="1">
        <v>45879</v>
      </c>
      <c r="H432" s="1">
        <v>45883</v>
      </c>
      <c r="I432" s="1" t="str">
        <f>TEXT(Table1[[#This Row],[Admission Date]],"MMMM")</f>
        <v>August</v>
      </c>
      <c r="J432">
        <v>4</v>
      </c>
      <c r="K432">
        <v>40804</v>
      </c>
    </row>
    <row r="433" spans="1:11" x14ac:dyDescent="0.3">
      <c r="A433" t="s">
        <v>601</v>
      </c>
      <c r="B433" t="s">
        <v>242</v>
      </c>
      <c r="C433">
        <v>69</v>
      </c>
      <c r="D433" t="s">
        <v>18</v>
      </c>
      <c r="E433" t="s">
        <v>34</v>
      </c>
      <c r="F433" t="s">
        <v>15</v>
      </c>
      <c r="G433" s="1">
        <v>46017</v>
      </c>
      <c r="H433" s="1">
        <v>46023</v>
      </c>
      <c r="I433" s="1" t="str">
        <f>TEXT(Table1[[#This Row],[Admission Date]],"MMMM")</f>
        <v>December</v>
      </c>
      <c r="J433">
        <v>6</v>
      </c>
      <c r="K433">
        <v>56766</v>
      </c>
    </row>
    <row r="434" spans="1:11" x14ac:dyDescent="0.3">
      <c r="A434" t="s">
        <v>602</v>
      </c>
      <c r="B434" t="s">
        <v>603</v>
      </c>
      <c r="C434">
        <v>67</v>
      </c>
      <c r="D434" t="s">
        <v>18</v>
      </c>
      <c r="E434" t="s">
        <v>34</v>
      </c>
      <c r="F434" t="s">
        <v>28</v>
      </c>
      <c r="G434" s="1">
        <v>45790</v>
      </c>
      <c r="H434" s="1">
        <v>45793</v>
      </c>
      <c r="I434" s="1" t="str">
        <f>TEXT(Table1[[#This Row],[Admission Date]],"MMMM")</f>
        <v>May</v>
      </c>
      <c r="J434">
        <v>3</v>
      </c>
      <c r="K434">
        <v>26751</v>
      </c>
    </row>
    <row r="435" spans="1:11" x14ac:dyDescent="0.3">
      <c r="A435" t="s">
        <v>604</v>
      </c>
      <c r="B435" t="s">
        <v>391</v>
      </c>
      <c r="C435">
        <v>88</v>
      </c>
      <c r="D435" t="s">
        <v>13</v>
      </c>
      <c r="E435" t="s">
        <v>46</v>
      </c>
      <c r="F435" t="s">
        <v>20</v>
      </c>
      <c r="G435" s="1">
        <v>46019</v>
      </c>
      <c r="H435" s="1">
        <v>46029</v>
      </c>
      <c r="I435" s="1" t="str">
        <f>TEXT(Table1[[#This Row],[Admission Date]],"MMMM")</f>
        <v>December</v>
      </c>
      <c r="J435">
        <v>10</v>
      </c>
      <c r="K435">
        <v>53830</v>
      </c>
    </row>
    <row r="436" spans="1:11" x14ac:dyDescent="0.3">
      <c r="A436" t="s">
        <v>605</v>
      </c>
      <c r="B436" t="s">
        <v>190</v>
      </c>
      <c r="C436">
        <v>47</v>
      </c>
      <c r="D436" t="s">
        <v>13</v>
      </c>
      <c r="E436" t="s">
        <v>40</v>
      </c>
      <c r="F436" t="s">
        <v>20</v>
      </c>
      <c r="G436" s="1">
        <v>45769</v>
      </c>
      <c r="H436" s="1">
        <v>45776</v>
      </c>
      <c r="I436" s="1" t="str">
        <f>TEXT(Table1[[#This Row],[Admission Date]],"MMMM")</f>
        <v>April</v>
      </c>
      <c r="J436">
        <v>7</v>
      </c>
      <c r="K436">
        <v>32613</v>
      </c>
    </row>
    <row r="437" spans="1:11" x14ac:dyDescent="0.3">
      <c r="A437" t="s">
        <v>606</v>
      </c>
      <c r="B437" t="s">
        <v>456</v>
      </c>
      <c r="C437">
        <v>48</v>
      </c>
      <c r="D437" t="s">
        <v>18</v>
      </c>
      <c r="E437" t="s">
        <v>19</v>
      </c>
      <c r="F437" t="s">
        <v>60</v>
      </c>
      <c r="G437" s="1">
        <v>45965</v>
      </c>
      <c r="H437" s="1">
        <v>45971</v>
      </c>
      <c r="I437" s="1" t="str">
        <f>TEXT(Table1[[#This Row],[Admission Date]],"MMMM")</f>
        <v>November</v>
      </c>
      <c r="J437">
        <v>6</v>
      </c>
      <c r="K437">
        <v>53052</v>
      </c>
    </row>
    <row r="438" spans="1:11" x14ac:dyDescent="0.3">
      <c r="A438" t="s">
        <v>607</v>
      </c>
      <c r="B438" t="s">
        <v>427</v>
      </c>
      <c r="C438">
        <v>89</v>
      </c>
      <c r="D438" t="s">
        <v>18</v>
      </c>
      <c r="E438" t="s">
        <v>27</v>
      </c>
      <c r="F438" t="s">
        <v>20</v>
      </c>
      <c r="G438" s="1">
        <v>45892</v>
      </c>
      <c r="H438" s="1">
        <v>45906</v>
      </c>
      <c r="I438" s="1" t="str">
        <f>TEXT(Table1[[#This Row],[Admission Date]],"MMMM")</f>
        <v>August</v>
      </c>
      <c r="J438">
        <v>14</v>
      </c>
      <c r="K438">
        <v>64484</v>
      </c>
    </row>
    <row r="439" spans="1:11" x14ac:dyDescent="0.3">
      <c r="A439" t="s">
        <v>608</v>
      </c>
      <c r="B439" t="s">
        <v>143</v>
      </c>
      <c r="C439">
        <v>75</v>
      </c>
      <c r="D439" t="s">
        <v>13</v>
      </c>
      <c r="E439" t="s">
        <v>49</v>
      </c>
      <c r="F439" t="s">
        <v>15</v>
      </c>
      <c r="G439" s="1">
        <v>46009</v>
      </c>
      <c r="H439" s="1">
        <v>46024</v>
      </c>
      <c r="I439" s="1" t="str">
        <f>TEXT(Table1[[#This Row],[Admission Date]],"MMMM")</f>
        <v>December</v>
      </c>
      <c r="J439">
        <v>15</v>
      </c>
      <c r="K439">
        <v>110655</v>
      </c>
    </row>
    <row r="440" spans="1:11" x14ac:dyDescent="0.3">
      <c r="A440" t="s">
        <v>609</v>
      </c>
      <c r="B440" t="s">
        <v>117</v>
      </c>
      <c r="C440">
        <v>16</v>
      </c>
      <c r="D440" t="s">
        <v>13</v>
      </c>
      <c r="E440" t="s">
        <v>14</v>
      </c>
      <c r="F440" t="s">
        <v>24</v>
      </c>
      <c r="G440" s="1">
        <v>45796</v>
      </c>
      <c r="H440" s="1">
        <v>45802</v>
      </c>
      <c r="I440" s="1" t="str">
        <f>TEXT(Table1[[#This Row],[Admission Date]],"MMMM")</f>
        <v>May</v>
      </c>
      <c r="J440">
        <v>6</v>
      </c>
      <c r="K440">
        <v>57054</v>
      </c>
    </row>
    <row r="441" spans="1:11" x14ac:dyDescent="0.3">
      <c r="A441" t="s">
        <v>610</v>
      </c>
      <c r="B441" t="s">
        <v>113</v>
      </c>
      <c r="C441">
        <v>38</v>
      </c>
      <c r="D441" t="s">
        <v>18</v>
      </c>
      <c r="E441" t="s">
        <v>103</v>
      </c>
      <c r="F441" t="s">
        <v>35</v>
      </c>
      <c r="G441" s="1">
        <v>45804</v>
      </c>
      <c r="H441" s="1">
        <v>45816</v>
      </c>
      <c r="I441" s="1" t="str">
        <f>TEXT(Table1[[#This Row],[Admission Date]],"MMMM")</f>
        <v>May</v>
      </c>
      <c r="J441">
        <v>12</v>
      </c>
      <c r="K441">
        <v>136380</v>
      </c>
    </row>
    <row r="442" spans="1:11" x14ac:dyDescent="0.3">
      <c r="A442" t="s">
        <v>611</v>
      </c>
      <c r="B442" t="s">
        <v>83</v>
      </c>
      <c r="C442">
        <v>85</v>
      </c>
      <c r="D442" t="s">
        <v>18</v>
      </c>
      <c r="E442" t="s">
        <v>19</v>
      </c>
      <c r="F442" t="s">
        <v>15</v>
      </c>
      <c r="G442" s="1">
        <v>45711</v>
      </c>
      <c r="H442" s="1">
        <v>45718</v>
      </c>
      <c r="I442" s="1" t="str">
        <f>TEXT(Table1[[#This Row],[Admission Date]],"MMMM")</f>
        <v>February</v>
      </c>
      <c r="J442">
        <v>7</v>
      </c>
      <c r="K442">
        <v>69832</v>
      </c>
    </row>
    <row r="443" spans="1:11" x14ac:dyDescent="0.3">
      <c r="A443" t="s">
        <v>612</v>
      </c>
      <c r="B443" t="s">
        <v>304</v>
      </c>
      <c r="C443">
        <v>21</v>
      </c>
      <c r="D443" t="s">
        <v>13</v>
      </c>
      <c r="E443" t="s">
        <v>14</v>
      </c>
      <c r="F443" t="s">
        <v>24</v>
      </c>
      <c r="G443" s="1">
        <v>45919</v>
      </c>
      <c r="H443" s="1">
        <v>45927</v>
      </c>
      <c r="I443" s="1" t="str">
        <f>TEXT(Table1[[#This Row],[Admission Date]],"MMMM")</f>
        <v>September</v>
      </c>
      <c r="J443">
        <v>8</v>
      </c>
      <c r="K443">
        <v>42944</v>
      </c>
    </row>
    <row r="444" spans="1:11" x14ac:dyDescent="0.3">
      <c r="A444" t="s">
        <v>613</v>
      </c>
      <c r="B444" t="s">
        <v>57</v>
      </c>
      <c r="C444">
        <v>59</v>
      </c>
      <c r="D444" t="s">
        <v>18</v>
      </c>
      <c r="E444" t="s">
        <v>40</v>
      </c>
      <c r="F444" t="s">
        <v>35</v>
      </c>
      <c r="G444" s="1">
        <v>45687</v>
      </c>
      <c r="H444" s="1">
        <v>45702</v>
      </c>
      <c r="I444" s="1" t="str">
        <f>TEXT(Table1[[#This Row],[Admission Date]],"MMMM")</f>
        <v>January</v>
      </c>
      <c r="J444">
        <v>15</v>
      </c>
      <c r="K444">
        <v>161520</v>
      </c>
    </row>
    <row r="445" spans="1:11" x14ac:dyDescent="0.3">
      <c r="A445" t="s">
        <v>614</v>
      </c>
      <c r="B445" t="s">
        <v>101</v>
      </c>
      <c r="C445">
        <v>15</v>
      </c>
      <c r="D445" t="s">
        <v>18</v>
      </c>
      <c r="E445" t="s">
        <v>27</v>
      </c>
      <c r="F445" t="s">
        <v>15</v>
      </c>
      <c r="G445" s="1">
        <v>45845</v>
      </c>
      <c r="H445" s="1">
        <v>45857</v>
      </c>
      <c r="I445" s="1" t="str">
        <f>TEXT(Table1[[#This Row],[Admission Date]],"MMMM")</f>
        <v>July</v>
      </c>
      <c r="J445">
        <v>12</v>
      </c>
      <c r="K445">
        <v>73080</v>
      </c>
    </row>
    <row r="446" spans="1:11" x14ac:dyDescent="0.3">
      <c r="A446" t="s">
        <v>615</v>
      </c>
      <c r="B446" t="s">
        <v>616</v>
      </c>
      <c r="C446">
        <v>36</v>
      </c>
      <c r="D446" t="s">
        <v>13</v>
      </c>
      <c r="E446" t="s">
        <v>14</v>
      </c>
      <c r="F446" t="s">
        <v>28</v>
      </c>
      <c r="G446" s="1">
        <v>45796</v>
      </c>
      <c r="H446" s="1">
        <v>45797</v>
      </c>
      <c r="I446" s="1" t="str">
        <f>TEXT(Table1[[#This Row],[Admission Date]],"MMMM")</f>
        <v>May</v>
      </c>
      <c r="J446">
        <v>1</v>
      </c>
      <c r="K446">
        <v>5624</v>
      </c>
    </row>
    <row r="447" spans="1:11" x14ac:dyDescent="0.3">
      <c r="A447" t="s">
        <v>617</v>
      </c>
      <c r="B447" t="s">
        <v>580</v>
      </c>
      <c r="C447">
        <v>2</v>
      </c>
      <c r="D447" t="s">
        <v>13</v>
      </c>
      <c r="E447" t="s">
        <v>40</v>
      </c>
      <c r="F447" t="s">
        <v>35</v>
      </c>
      <c r="G447" s="1">
        <v>45714</v>
      </c>
      <c r="H447" s="1">
        <v>45715</v>
      </c>
      <c r="I447" s="1" t="str">
        <f>TEXT(Table1[[#This Row],[Admission Date]],"MMMM")</f>
        <v>February</v>
      </c>
      <c r="J447">
        <v>1</v>
      </c>
      <c r="K447">
        <v>7215</v>
      </c>
    </row>
    <row r="448" spans="1:11" x14ac:dyDescent="0.3">
      <c r="A448" t="s">
        <v>618</v>
      </c>
      <c r="B448" t="s">
        <v>346</v>
      </c>
      <c r="C448">
        <v>51</v>
      </c>
      <c r="D448" t="s">
        <v>18</v>
      </c>
      <c r="E448" t="s">
        <v>23</v>
      </c>
      <c r="F448" t="s">
        <v>43</v>
      </c>
      <c r="G448" s="1">
        <v>45823</v>
      </c>
      <c r="H448" s="1">
        <v>45836</v>
      </c>
      <c r="I448" s="1" t="str">
        <f>TEXT(Table1[[#This Row],[Admission Date]],"MMMM")</f>
        <v>June</v>
      </c>
      <c r="J448">
        <v>13</v>
      </c>
      <c r="K448">
        <v>133939</v>
      </c>
    </row>
    <row r="449" spans="1:11" x14ac:dyDescent="0.3">
      <c r="A449" t="s">
        <v>619</v>
      </c>
      <c r="B449" t="s">
        <v>51</v>
      </c>
      <c r="C449">
        <v>19</v>
      </c>
      <c r="D449" t="s">
        <v>13</v>
      </c>
      <c r="E449" t="s">
        <v>49</v>
      </c>
      <c r="F449" t="s">
        <v>43</v>
      </c>
      <c r="G449" s="1">
        <v>45753</v>
      </c>
      <c r="H449" s="1">
        <v>45768</v>
      </c>
      <c r="I449" s="1" t="str">
        <f>TEXT(Table1[[#This Row],[Admission Date]],"MMMM")</f>
        <v>April</v>
      </c>
      <c r="J449">
        <v>15</v>
      </c>
      <c r="K449">
        <v>148215</v>
      </c>
    </row>
    <row r="450" spans="1:11" x14ac:dyDescent="0.3">
      <c r="A450" t="s">
        <v>620</v>
      </c>
      <c r="B450" t="s">
        <v>110</v>
      </c>
      <c r="C450">
        <v>43</v>
      </c>
      <c r="D450" t="s">
        <v>18</v>
      </c>
      <c r="E450" t="s">
        <v>46</v>
      </c>
      <c r="F450" t="s">
        <v>60</v>
      </c>
      <c r="G450" s="1">
        <v>45973</v>
      </c>
      <c r="H450" s="1">
        <v>45979</v>
      </c>
      <c r="I450" s="1" t="str">
        <f>TEXT(Table1[[#This Row],[Admission Date]],"MMMM")</f>
        <v>November</v>
      </c>
      <c r="J450">
        <v>6</v>
      </c>
      <c r="K450">
        <v>65766</v>
      </c>
    </row>
    <row r="451" spans="1:11" x14ac:dyDescent="0.3">
      <c r="A451" t="s">
        <v>621</v>
      </c>
      <c r="B451" t="s">
        <v>551</v>
      </c>
      <c r="C451">
        <v>69</v>
      </c>
      <c r="D451" t="s">
        <v>13</v>
      </c>
      <c r="E451" t="s">
        <v>19</v>
      </c>
      <c r="F451" t="s">
        <v>63</v>
      </c>
      <c r="G451" s="1">
        <v>45995</v>
      </c>
      <c r="H451" s="1">
        <v>46006</v>
      </c>
      <c r="I451" s="1" t="str">
        <f>TEXT(Table1[[#This Row],[Admission Date]],"MMMM")</f>
        <v>December</v>
      </c>
      <c r="J451">
        <v>11</v>
      </c>
      <c r="K451">
        <v>81433</v>
      </c>
    </row>
    <row r="452" spans="1:11" x14ac:dyDescent="0.3">
      <c r="A452" t="s">
        <v>622</v>
      </c>
      <c r="B452" t="s">
        <v>395</v>
      </c>
      <c r="C452">
        <v>25</v>
      </c>
      <c r="D452" t="s">
        <v>18</v>
      </c>
      <c r="E452" t="s">
        <v>14</v>
      </c>
      <c r="F452" t="s">
        <v>63</v>
      </c>
      <c r="G452" s="1">
        <v>45713</v>
      </c>
      <c r="H452" s="1">
        <v>45724</v>
      </c>
      <c r="I452" s="1" t="str">
        <f>TEXT(Table1[[#This Row],[Admission Date]],"MMMM")</f>
        <v>February</v>
      </c>
      <c r="J452">
        <v>11</v>
      </c>
      <c r="K452">
        <v>66264</v>
      </c>
    </row>
    <row r="453" spans="1:11" x14ac:dyDescent="0.3">
      <c r="A453" t="s">
        <v>623</v>
      </c>
      <c r="B453" t="s">
        <v>73</v>
      </c>
      <c r="C453">
        <v>9</v>
      </c>
      <c r="D453" t="s">
        <v>13</v>
      </c>
      <c r="E453" t="s">
        <v>23</v>
      </c>
      <c r="F453" t="s">
        <v>63</v>
      </c>
      <c r="G453" s="1">
        <v>45819</v>
      </c>
      <c r="H453" s="1">
        <v>45830</v>
      </c>
      <c r="I453" s="1" t="str">
        <f>TEXT(Table1[[#This Row],[Admission Date]],"MMMM")</f>
        <v>June</v>
      </c>
      <c r="J453">
        <v>11</v>
      </c>
      <c r="K453">
        <v>109274</v>
      </c>
    </row>
    <row r="454" spans="1:11" x14ac:dyDescent="0.3">
      <c r="A454" t="s">
        <v>624</v>
      </c>
      <c r="B454" t="s">
        <v>87</v>
      </c>
      <c r="C454">
        <v>6</v>
      </c>
      <c r="D454" t="s">
        <v>13</v>
      </c>
      <c r="E454" t="s">
        <v>31</v>
      </c>
      <c r="F454" t="s">
        <v>60</v>
      </c>
      <c r="G454" s="1">
        <v>45790</v>
      </c>
      <c r="H454" s="1">
        <v>45804</v>
      </c>
      <c r="I454" s="1" t="str">
        <f>TEXT(Table1[[#This Row],[Admission Date]],"MMMM")</f>
        <v>May</v>
      </c>
      <c r="J454">
        <v>14</v>
      </c>
      <c r="K454">
        <v>57666</v>
      </c>
    </row>
    <row r="455" spans="1:11" x14ac:dyDescent="0.3">
      <c r="A455" t="s">
        <v>625</v>
      </c>
      <c r="B455" t="s">
        <v>87</v>
      </c>
      <c r="C455">
        <v>40</v>
      </c>
      <c r="D455" t="s">
        <v>18</v>
      </c>
      <c r="E455" t="s">
        <v>27</v>
      </c>
      <c r="F455" t="s">
        <v>60</v>
      </c>
      <c r="G455" s="1">
        <v>45879</v>
      </c>
      <c r="H455" s="1">
        <v>45892</v>
      </c>
      <c r="I455" s="1" t="str">
        <f>TEXT(Table1[[#This Row],[Admission Date]],"MMMM")</f>
        <v>August</v>
      </c>
      <c r="J455">
        <v>13</v>
      </c>
      <c r="K455">
        <v>143923</v>
      </c>
    </row>
    <row r="456" spans="1:11" x14ac:dyDescent="0.3">
      <c r="A456" t="s">
        <v>626</v>
      </c>
      <c r="B456" t="s">
        <v>627</v>
      </c>
      <c r="C456">
        <v>6</v>
      </c>
      <c r="D456" t="s">
        <v>13</v>
      </c>
      <c r="E456" t="s">
        <v>49</v>
      </c>
      <c r="F456" t="s">
        <v>15</v>
      </c>
      <c r="G456" s="1">
        <v>46010</v>
      </c>
      <c r="H456" s="1">
        <v>46013</v>
      </c>
      <c r="I456" s="1" t="str">
        <f>TEXT(Table1[[#This Row],[Admission Date]],"MMMM")</f>
        <v>December</v>
      </c>
      <c r="J456">
        <v>3</v>
      </c>
      <c r="K456">
        <v>28863</v>
      </c>
    </row>
    <row r="457" spans="1:11" x14ac:dyDescent="0.3">
      <c r="A457" t="s">
        <v>628</v>
      </c>
      <c r="B457" t="s">
        <v>42</v>
      </c>
      <c r="C457">
        <v>2</v>
      </c>
      <c r="D457" t="s">
        <v>13</v>
      </c>
      <c r="E457" t="s">
        <v>46</v>
      </c>
      <c r="F457" t="s">
        <v>60</v>
      </c>
      <c r="G457" s="1">
        <v>45758</v>
      </c>
      <c r="H457" s="1">
        <v>45766</v>
      </c>
      <c r="I457" s="1" t="str">
        <f>TEXT(Table1[[#This Row],[Admission Date]],"MMMM")</f>
        <v>April</v>
      </c>
      <c r="J457">
        <v>8</v>
      </c>
      <c r="K457">
        <v>71560</v>
      </c>
    </row>
    <row r="458" spans="1:11" x14ac:dyDescent="0.3">
      <c r="A458" t="s">
        <v>629</v>
      </c>
      <c r="B458" t="s">
        <v>79</v>
      </c>
      <c r="C458">
        <v>75</v>
      </c>
      <c r="D458" t="s">
        <v>13</v>
      </c>
      <c r="E458" t="s">
        <v>46</v>
      </c>
      <c r="F458" t="s">
        <v>63</v>
      </c>
      <c r="G458" s="1">
        <v>45735</v>
      </c>
      <c r="H458" s="1">
        <v>45749</v>
      </c>
      <c r="I458" s="1" t="str">
        <f>TEXT(Table1[[#This Row],[Admission Date]],"MMMM")</f>
        <v>March</v>
      </c>
      <c r="J458">
        <v>14</v>
      </c>
      <c r="K458">
        <v>65996</v>
      </c>
    </row>
    <row r="459" spans="1:11" x14ac:dyDescent="0.3">
      <c r="A459" t="s">
        <v>630</v>
      </c>
      <c r="B459" t="s">
        <v>119</v>
      </c>
      <c r="C459">
        <v>64</v>
      </c>
      <c r="D459" t="s">
        <v>13</v>
      </c>
      <c r="E459" t="s">
        <v>40</v>
      </c>
      <c r="F459" t="s">
        <v>28</v>
      </c>
      <c r="G459" s="1">
        <v>45823</v>
      </c>
      <c r="H459" s="1">
        <v>45827</v>
      </c>
      <c r="I459" s="1" t="str">
        <f>TEXT(Table1[[#This Row],[Admission Date]],"MMMM")</f>
        <v>June</v>
      </c>
      <c r="J459">
        <v>4</v>
      </c>
      <c r="K459">
        <v>26316</v>
      </c>
    </row>
    <row r="460" spans="1:11" x14ac:dyDescent="0.3">
      <c r="A460" t="s">
        <v>631</v>
      </c>
      <c r="B460" t="s">
        <v>239</v>
      </c>
      <c r="C460">
        <v>86</v>
      </c>
      <c r="D460" t="s">
        <v>18</v>
      </c>
      <c r="E460" t="s">
        <v>40</v>
      </c>
      <c r="F460" t="s">
        <v>35</v>
      </c>
      <c r="G460" s="1">
        <v>45937</v>
      </c>
      <c r="H460" s="1">
        <v>45944</v>
      </c>
      <c r="I460" s="1" t="str">
        <f>TEXT(Table1[[#This Row],[Admission Date]],"MMMM")</f>
        <v>October</v>
      </c>
      <c r="J460">
        <v>7</v>
      </c>
      <c r="K460">
        <v>67620</v>
      </c>
    </row>
    <row r="461" spans="1:11" x14ac:dyDescent="0.3">
      <c r="A461" t="s">
        <v>632</v>
      </c>
      <c r="B461" t="s">
        <v>192</v>
      </c>
      <c r="C461">
        <v>27</v>
      </c>
      <c r="D461" t="s">
        <v>13</v>
      </c>
      <c r="E461" t="s">
        <v>14</v>
      </c>
      <c r="F461" t="s">
        <v>24</v>
      </c>
      <c r="G461" s="1">
        <v>45963</v>
      </c>
      <c r="H461" s="1">
        <v>45967</v>
      </c>
      <c r="I461" s="1" t="str">
        <f>TEXT(Table1[[#This Row],[Admission Date]],"MMMM")</f>
        <v>November</v>
      </c>
      <c r="J461">
        <v>4</v>
      </c>
      <c r="K461">
        <v>28984</v>
      </c>
    </row>
    <row r="462" spans="1:11" x14ac:dyDescent="0.3">
      <c r="A462" t="s">
        <v>633</v>
      </c>
      <c r="B462" t="s">
        <v>395</v>
      </c>
      <c r="C462">
        <v>47</v>
      </c>
      <c r="D462" t="s">
        <v>13</v>
      </c>
      <c r="E462" t="s">
        <v>14</v>
      </c>
      <c r="F462" t="s">
        <v>63</v>
      </c>
      <c r="G462" s="1">
        <v>45849</v>
      </c>
      <c r="H462" s="1">
        <v>45854</v>
      </c>
      <c r="I462" s="1" t="str">
        <f>TEXT(Table1[[#This Row],[Admission Date]],"MMMM")</f>
        <v>July</v>
      </c>
      <c r="J462">
        <v>5</v>
      </c>
      <c r="K462">
        <v>25390</v>
      </c>
    </row>
    <row r="463" spans="1:11" x14ac:dyDescent="0.3">
      <c r="A463" t="s">
        <v>634</v>
      </c>
      <c r="B463" t="s">
        <v>59</v>
      </c>
      <c r="C463">
        <v>72</v>
      </c>
      <c r="D463" t="s">
        <v>13</v>
      </c>
      <c r="E463" t="s">
        <v>27</v>
      </c>
      <c r="F463" t="s">
        <v>35</v>
      </c>
      <c r="G463" s="1">
        <v>45959</v>
      </c>
      <c r="H463" s="1">
        <v>45961</v>
      </c>
      <c r="I463" s="1" t="str">
        <f>TEXT(Table1[[#This Row],[Admission Date]],"MMMM")</f>
        <v>October</v>
      </c>
      <c r="J463">
        <v>2</v>
      </c>
      <c r="K463">
        <v>17000</v>
      </c>
    </row>
    <row r="464" spans="1:11" x14ac:dyDescent="0.3">
      <c r="A464" t="s">
        <v>635</v>
      </c>
      <c r="B464" t="s">
        <v>323</v>
      </c>
      <c r="C464">
        <v>9</v>
      </c>
      <c r="D464" t="s">
        <v>18</v>
      </c>
      <c r="E464" t="s">
        <v>46</v>
      </c>
      <c r="F464" t="s">
        <v>28</v>
      </c>
      <c r="G464" s="1">
        <v>45894</v>
      </c>
      <c r="H464" s="1">
        <v>45896</v>
      </c>
      <c r="I464" s="1" t="str">
        <f>TEXT(Table1[[#This Row],[Admission Date]],"MMMM")</f>
        <v>August</v>
      </c>
      <c r="J464">
        <v>2</v>
      </c>
      <c r="K464">
        <v>10030</v>
      </c>
    </row>
    <row r="465" spans="1:11" x14ac:dyDescent="0.3">
      <c r="A465" t="s">
        <v>636</v>
      </c>
      <c r="B465" t="s">
        <v>99</v>
      </c>
      <c r="C465">
        <v>23</v>
      </c>
      <c r="D465" t="s">
        <v>18</v>
      </c>
      <c r="E465" t="s">
        <v>34</v>
      </c>
      <c r="F465" t="s">
        <v>60</v>
      </c>
      <c r="G465" s="1">
        <v>45726</v>
      </c>
      <c r="H465" s="1">
        <v>45730</v>
      </c>
      <c r="I465" s="1" t="str">
        <f>TEXT(Table1[[#This Row],[Admission Date]],"MMMM")</f>
        <v>March</v>
      </c>
      <c r="J465">
        <v>4</v>
      </c>
      <c r="K465">
        <v>21420</v>
      </c>
    </row>
    <row r="466" spans="1:11" x14ac:dyDescent="0.3">
      <c r="A466" t="s">
        <v>637</v>
      </c>
      <c r="B466" t="s">
        <v>128</v>
      </c>
      <c r="C466">
        <v>76</v>
      </c>
      <c r="D466" t="s">
        <v>18</v>
      </c>
      <c r="E466" t="s">
        <v>31</v>
      </c>
      <c r="F466" t="s">
        <v>60</v>
      </c>
      <c r="G466" s="1">
        <v>45977</v>
      </c>
      <c r="H466" s="1">
        <v>45984</v>
      </c>
      <c r="I466" s="1" t="str">
        <f>TEXT(Table1[[#This Row],[Admission Date]],"MMMM")</f>
        <v>November</v>
      </c>
      <c r="J466">
        <v>7</v>
      </c>
      <c r="K466">
        <v>45899</v>
      </c>
    </row>
    <row r="467" spans="1:11" x14ac:dyDescent="0.3">
      <c r="A467" t="s">
        <v>638</v>
      </c>
      <c r="B467" t="s">
        <v>51</v>
      </c>
      <c r="C467">
        <v>27</v>
      </c>
      <c r="D467" t="s">
        <v>13</v>
      </c>
      <c r="E467" t="s">
        <v>46</v>
      </c>
      <c r="F467" t="s">
        <v>24</v>
      </c>
      <c r="G467" s="1">
        <v>45680</v>
      </c>
      <c r="H467" s="1">
        <v>45690</v>
      </c>
      <c r="I467" s="1" t="str">
        <f>TEXT(Table1[[#This Row],[Admission Date]],"MMMM")</f>
        <v>January</v>
      </c>
      <c r="J467">
        <v>10</v>
      </c>
      <c r="K467">
        <v>92630</v>
      </c>
    </row>
    <row r="468" spans="1:11" x14ac:dyDescent="0.3">
      <c r="A468" t="s">
        <v>639</v>
      </c>
      <c r="B468" t="s">
        <v>580</v>
      </c>
      <c r="C468">
        <v>55</v>
      </c>
      <c r="D468" t="s">
        <v>18</v>
      </c>
      <c r="E468" t="s">
        <v>103</v>
      </c>
      <c r="F468" t="s">
        <v>60</v>
      </c>
      <c r="G468" s="1">
        <v>45746</v>
      </c>
      <c r="H468" s="1">
        <v>45755</v>
      </c>
      <c r="I468" s="1" t="str">
        <f>TEXT(Table1[[#This Row],[Admission Date]],"MMMM")</f>
        <v>March</v>
      </c>
      <c r="J468">
        <v>9</v>
      </c>
      <c r="K468">
        <v>74151</v>
      </c>
    </row>
    <row r="469" spans="1:11" x14ac:dyDescent="0.3">
      <c r="A469" t="s">
        <v>640</v>
      </c>
      <c r="B469" t="s">
        <v>101</v>
      </c>
      <c r="C469">
        <v>73</v>
      </c>
      <c r="D469" t="s">
        <v>13</v>
      </c>
      <c r="E469" t="s">
        <v>23</v>
      </c>
      <c r="F469" t="s">
        <v>24</v>
      </c>
      <c r="G469" s="1">
        <v>45752</v>
      </c>
      <c r="H469" s="1">
        <v>45766</v>
      </c>
      <c r="I469" s="1" t="str">
        <f>TEXT(Table1[[#This Row],[Admission Date]],"MMMM")</f>
        <v>April</v>
      </c>
      <c r="J469">
        <v>14</v>
      </c>
      <c r="K469">
        <v>57064</v>
      </c>
    </row>
    <row r="470" spans="1:11" x14ac:dyDescent="0.3">
      <c r="A470" t="s">
        <v>641</v>
      </c>
      <c r="B470" t="s">
        <v>456</v>
      </c>
      <c r="C470">
        <v>49</v>
      </c>
      <c r="D470" t="s">
        <v>18</v>
      </c>
      <c r="E470" t="s">
        <v>34</v>
      </c>
      <c r="F470" t="s">
        <v>63</v>
      </c>
      <c r="G470" s="1">
        <v>45925</v>
      </c>
      <c r="H470" s="1">
        <v>45935</v>
      </c>
      <c r="I470" s="1" t="str">
        <f>TEXT(Table1[[#This Row],[Admission Date]],"MMMM")</f>
        <v>September</v>
      </c>
      <c r="J470">
        <v>10</v>
      </c>
      <c r="K470">
        <v>105610</v>
      </c>
    </row>
    <row r="471" spans="1:11" x14ac:dyDescent="0.3">
      <c r="A471" t="s">
        <v>642</v>
      </c>
      <c r="B471" t="s">
        <v>131</v>
      </c>
      <c r="C471">
        <v>36</v>
      </c>
      <c r="D471" t="s">
        <v>13</v>
      </c>
      <c r="E471" t="s">
        <v>27</v>
      </c>
      <c r="F471" t="s">
        <v>63</v>
      </c>
      <c r="G471" s="1">
        <v>45882</v>
      </c>
      <c r="H471" s="1">
        <v>45892</v>
      </c>
      <c r="I471" s="1" t="str">
        <f>TEXT(Table1[[#This Row],[Admission Date]],"MMMM")</f>
        <v>August</v>
      </c>
      <c r="J471">
        <v>10</v>
      </c>
      <c r="K471">
        <v>73210</v>
      </c>
    </row>
    <row r="472" spans="1:11" x14ac:dyDescent="0.3">
      <c r="A472" t="s">
        <v>643</v>
      </c>
      <c r="B472" t="s">
        <v>210</v>
      </c>
      <c r="C472">
        <v>19</v>
      </c>
      <c r="D472" t="s">
        <v>18</v>
      </c>
      <c r="E472" t="s">
        <v>27</v>
      </c>
      <c r="F472" t="s">
        <v>63</v>
      </c>
      <c r="G472" s="1">
        <v>45961</v>
      </c>
      <c r="H472" s="1">
        <v>45963</v>
      </c>
      <c r="I472" s="1" t="str">
        <f>TEXT(Table1[[#This Row],[Admission Date]],"MMMM")</f>
        <v>October</v>
      </c>
      <c r="J472">
        <v>2</v>
      </c>
      <c r="K472">
        <v>13854</v>
      </c>
    </row>
    <row r="473" spans="1:11" x14ac:dyDescent="0.3">
      <c r="A473" t="s">
        <v>644</v>
      </c>
      <c r="B473" t="s">
        <v>202</v>
      </c>
      <c r="C473">
        <v>16</v>
      </c>
      <c r="D473" t="s">
        <v>13</v>
      </c>
      <c r="E473" t="s">
        <v>49</v>
      </c>
      <c r="F473" t="s">
        <v>24</v>
      </c>
      <c r="G473" s="1">
        <v>45671</v>
      </c>
      <c r="H473" s="1">
        <v>45677</v>
      </c>
      <c r="I473" s="1" t="str">
        <f>TEXT(Table1[[#This Row],[Admission Date]],"MMMM")</f>
        <v>January</v>
      </c>
      <c r="J473">
        <v>6</v>
      </c>
      <c r="K473">
        <v>31194</v>
      </c>
    </row>
    <row r="474" spans="1:11" x14ac:dyDescent="0.3">
      <c r="A474" t="s">
        <v>645</v>
      </c>
      <c r="B474" t="s">
        <v>204</v>
      </c>
      <c r="C474">
        <v>43</v>
      </c>
      <c r="D474" t="s">
        <v>18</v>
      </c>
      <c r="E474" t="s">
        <v>27</v>
      </c>
      <c r="F474" t="s">
        <v>15</v>
      </c>
      <c r="G474" s="1">
        <v>45776</v>
      </c>
      <c r="H474" s="1">
        <v>45777</v>
      </c>
      <c r="I474" s="1" t="str">
        <f>TEXT(Table1[[#This Row],[Admission Date]],"MMMM")</f>
        <v>April</v>
      </c>
      <c r="J474">
        <v>1</v>
      </c>
      <c r="K474">
        <v>8242</v>
      </c>
    </row>
    <row r="475" spans="1:11" x14ac:dyDescent="0.3">
      <c r="A475" t="s">
        <v>646</v>
      </c>
      <c r="B475" t="s">
        <v>276</v>
      </c>
      <c r="C475">
        <v>5</v>
      </c>
      <c r="D475" t="s">
        <v>18</v>
      </c>
      <c r="E475" t="s">
        <v>27</v>
      </c>
      <c r="F475" t="s">
        <v>43</v>
      </c>
      <c r="G475" s="1">
        <v>45888</v>
      </c>
      <c r="H475" s="1">
        <v>45897</v>
      </c>
      <c r="I475" s="1" t="str">
        <f>TEXT(Table1[[#This Row],[Admission Date]],"MMMM")</f>
        <v>August</v>
      </c>
      <c r="J475">
        <v>9</v>
      </c>
      <c r="K475">
        <v>86616</v>
      </c>
    </row>
    <row r="476" spans="1:11" x14ac:dyDescent="0.3">
      <c r="A476" t="s">
        <v>647</v>
      </c>
      <c r="B476" t="s">
        <v>436</v>
      </c>
      <c r="C476">
        <v>66</v>
      </c>
      <c r="D476" t="s">
        <v>13</v>
      </c>
      <c r="E476" t="s">
        <v>14</v>
      </c>
      <c r="F476" t="s">
        <v>20</v>
      </c>
      <c r="G476" s="1">
        <v>45936</v>
      </c>
      <c r="H476" s="1">
        <v>45942</v>
      </c>
      <c r="I476" s="1" t="str">
        <f>TEXT(Table1[[#This Row],[Admission Date]],"MMMM")</f>
        <v>October</v>
      </c>
      <c r="J476">
        <v>6</v>
      </c>
      <c r="K476">
        <v>35304</v>
      </c>
    </row>
    <row r="477" spans="1:11" x14ac:dyDescent="0.3">
      <c r="A477" t="s">
        <v>648</v>
      </c>
      <c r="B477" t="s">
        <v>65</v>
      </c>
      <c r="C477">
        <v>42</v>
      </c>
      <c r="D477" t="s">
        <v>18</v>
      </c>
      <c r="E477" t="s">
        <v>19</v>
      </c>
      <c r="F477" t="s">
        <v>63</v>
      </c>
      <c r="G477" s="1">
        <v>45992</v>
      </c>
      <c r="H477" s="1">
        <v>45997</v>
      </c>
      <c r="I477" s="1" t="str">
        <f>TEXT(Table1[[#This Row],[Admission Date]],"MMMM")</f>
        <v>December</v>
      </c>
      <c r="J477">
        <v>5</v>
      </c>
      <c r="K477">
        <v>35275</v>
      </c>
    </row>
    <row r="478" spans="1:11" x14ac:dyDescent="0.3">
      <c r="A478" t="s">
        <v>649</v>
      </c>
      <c r="B478" t="s">
        <v>133</v>
      </c>
      <c r="C478">
        <v>16</v>
      </c>
      <c r="D478" t="s">
        <v>18</v>
      </c>
      <c r="E478" t="s">
        <v>19</v>
      </c>
      <c r="F478" t="s">
        <v>24</v>
      </c>
      <c r="G478" s="1">
        <v>45894</v>
      </c>
      <c r="H478" s="1">
        <v>45903</v>
      </c>
      <c r="I478" s="1" t="str">
        <f>TEXT(Table1[[#This Row],[Admission Date]],"MMMM")</f>
        <v>August</v>
      </c>
      <c r="J478">
        <v>9</v>
      </c>
      <c r="K478">
        <v>92979</v>
      </c>
    </row>
    <row r="479" spans="1:11" x14ac:dyDescent="0.3">
      <c r="A479" t="s">
        <v>650</v>
      </c>
      <c r="B479" t="s">
        <v>77</v>
      </c>
      <c r="C479">
        <v>75</v>
      </c>
      <c r="D479" t="s">
        <v>18</v>
      </c>
      <c r="E479" t="s">
        <v>19</v>
      </c>
      <c r="F479" t="s">
        <v>28</v>
      </c>
      <c r="G479" s="1">
        <v>46014</v>
      </c>
      <c r="H479" s="1">
        <v>46025</v>
      </c>
      <c r="I479" s="1" t="str">
        <f>TEXT(Table1[[#This Row],[Admission Date]],"MMMM")</f>
        <v>December</v>
      </c>
      <c r="J479">
        <v>11</v>
      </c>
      <c r="K479">
        <v>77704</v>
      </c>
    </row>
    <row r="480" spans="1:11" x14ac:dyDescent="0.3">
      <c r="A480" t="s">
        <v>651</v>
      </c>
      <c r="B480" t="s">
        <v>77</v>
      </c>
      <c r="C480">
        <v>9</v>
      </c>
      <c r="D480" t="s">
        <v>18</v>
      </c>
      <c r="E480" t="s">
        <v>14</v>
      </c>
      <c r="F480" t="s">
        <v>35</v>
      </c>
      <c r="G480" s="1">
        <v>45687</v>
      </c>
      <c r="H480" s="1">
        <v>45691</v>
      </c>
      <c r="I480" s="1" t="str">
        <f>TEXT(Table1[[#This Row],[Admission Date]],"MMMM")</f>
        <v>January</v>
      </c>
      <c r="J480">
        <v>4</v>
      </c>
      <c r="K480">
        <v>38200</v>
      </c>
    </row>
    <row r="481" spans="1:11" x14ac:dyDescent="0.3">
      <c r="A481" t="s">
        <v>652</v>
      </c>
      <c r="B481" t="s">
        <v>55</v>
      </c>
      <c r="C481">
        <v>22</v>
      </c>
      <c r="D481" t="s">
        <v>18</v>
      </c>
      <c r="E481" t="s">
        <v>34</v>
      </c>
      <c r="F481" t="s">
        <v>35</v>
      </c>
      <c r="G481" s="1">
        <v>45949</v>
      </c>
      <c r="H481" s="1">
        <v>45963</v>
      </c>
      <c r="I481" s="1" t="str">
        <f>TEXT(Table1[[#This Row],[Admission Date]],"MMMM")</f>
        <v>October</v>
      </c>
      <c r="J481">
        <v>14</v>
      </c>
      <c r="K481">
        <v>70168</v>
      </c>
    </row>
    <row r="482" spans="1:11" x14ac:dyDescent="0.3">
      <c r="A482" t="s">
        <v>653</v>
      </c>
      <c r="B482" t="s">
        <v>48</v>
      </c>
      <c r="C482">
        <v>51</v>
      </c>
      <c r="D482" t="s">
        <v>18</v>
      </c>
      <c r="E482" t="s">
        <v>40</v>
      </c>
      <c r="F482" t="s">
        <v>15</v>
      </c>
      <c r="G482" s="1">
        <v>45729</v>
      </c>
      <c r="H482" s="1">
        <v>45734</v>
      </c>
      <c r="I482" s="1" t="str">
        <f>TEXT(Table1[[#This Row],[Admission Date]],"MMMM")</f>
        <v>March</v>
      </c>
      <c r="J482">
        <v>5</v>
      </c>
      <c r="K482">
        <v>29285</v>
      </c>
    </row>
    <row r="483" spans="1:11" x14ac:dyDescent="0.3">
      <c r="A483" t="s">
        <v>654</v>
      </c>
      <c r="B483" t="s">
        <v>242</v>
      </c>
      <c r="C483">
        <v>67</v>
      </c>
      <c r="D483" t="s">
        <v>18</v>
      </c>
      <c r="E483" t="s">
        <v>46</v>
      </c>
      <c r="F483" t="s">
        <v>20</v>
      </c>
      <c r="G483" s="1">
        <v>46022</v>
      </c>
      <c r="H483" s="1">
        <v>46037</v>
      </c>
      <c r="I483" s="1" t="str">
        <f>TEXT(Table1[[#This Row],[Admission Date]],"MMMM")</f>
        <v>December</v>
      </c>
      <c r="J483">
        <v>15</v>
      </c>
      <c r="K483">
        <v>139725</v>
      </c>
    </row>
    <row r="484" spans="1:11" x14ac:dyDescent="0.3">
      <c r="A484" t="s">
        <v>655</v>
      </c>
      <c r="B484" t="s">
        <v>67</v>
      </c>
      <c r="C484">
        <v>57</v>
      </c>
      <c r="D484" t="s">
        <v>18</v>
      </c>
      <c r="E484" t="s">
        <v>46</v>
      </c>
      <c r="F484" t="s">
        <v>43</v>
      </c>
      <c r="G484" s="1">
        <v>45684</v>
      </c>
      <c r="H484" s="1">
        <v>45688</v>
      </c>
      <c r="I484" s="1" t="str">
        <f>TEXT(Table1[[#This Row],[Admission Date]],"MMMM")</f>
        <v>January</v>
      </c>
      <c r="J484">
        <v>4</v>
      </c>
      <c r="K484">
        <v>46588</v>
      </c>
    </row>
    <row r="485" spans="1:11" x14ac:dyDescent="0.3">
      <c r="A485" t="s">
        <v>656</v>
      </c>
      <c r="B485" t="s">
        <v>657</v>
      </c>
      <c r="C485">
        <v>90</v>
      </c>
      <c r="D485" t="s">
        <v>18</v>
      </c>
      <c r="E485" t="s">
        <v>19</v>
      </c>
      <c r="F485" t="s">
        <v>28</v>
      </c>
      <c r="G485" s="1">
        <v>45844</v>
      </c>
      <c r="H485" s="1">
        <v>45856</v>
      </c>
      <c r="I485" s="1" t="str">
        <f>TEXT(Table1[[#This Row],[Admission Date]],"MMMM")</f>
        <v>July</v>
      </c>
      <c r="J485">
        <v>12</v>
      </c>
      <c r="K485">
        <v>121368</v>
      </c>
    </row>
    <row r="486" spans="1:11" x14ac:dyDescent="0.3">
      <c r="A486" t="s">
        <v>658</v>
      </c>
      <c r="B486" t="s">
        <v>53</v>
      </c>
      <c r="C486">
        <v>49</v>
      </c>
      <c r="D486" t="s">
        <v>13</v>
      </c>
      <c r="E486" t="s">
        <v>31</v>
      </c>
      <c r="F486" t="s">
        <v>28</v>
      </c>
      <c r="G486" s="1">
        <v>45684</v>
      </c>
      <c r="H486" s="1">
        <v>45691</v>
      </c>
      <c r="I486" s="1" t="str">
        <f>TEXT(Table1[[#This Row],[Admission Date]],"MMMM")</f>
        <v>January</v>
      </c>
      <c r="J486">
        <v>7</v>
      </c>
      <c r="K486">
        <v>66766</v>
      </c>
    </row>
    <row r="487" spans="1:11" x14ac:dyDescent="0.3">
      <c r="A487" t="s">
        <v>659</v>
      </c>
      <c r="B487" t="s">
        <v>159</v>
      </c>
      <c r="C487">
        <v>6</v>
      </c>
      <c r="D487" t="s">
        <v>18</v>
      </c>
      <c r="E487" t="s">
        <v>103</v>
      </c>
      <c r="F487" t="s">
        <v>43</v>
      </c>
      <c r="G487" s="1">
        <v>45944</v>
      </c>
      <c r="H487" s="1">
        <v>45953</v>
      </c>
      <c r="I487" s="1" t="str">
        <f>TEXT(Table1[[#This Row],[Admission Date]],"MMMM")</f>
        <v>October</v>
      </c>
      <c r="J487">
        <v>9</v>
      </c>
      <c r="K487">
        <v>46161</v>
      </c>
    </row>
    <row r="488" spans="1:11" x14ac:dyDescent="0.3">
      <c r="A488" t="s">
        <v>660</v>
      </c>
      <c r="B488" t="s">
        <v>42</v>
      </c>
      <c r="C488">
        <v>28</v>
      </c>
      <c r="D488" t="s">
        <v>18</v>
      </c>
      <c r="E488" t="s">
        <v>46</v>
      </c>
      <c r="F488" t="s">
        <v>20</v>
      </c>
      <c r="G488" s="1">
        <v>45709</v>
      </c>
      <c r="H488" s="1">
        <v>45712</v>
      </c>
      <c r="I488" s="1" t="str">
        <f>TEXT(Table1[[#This Row],[Admission Date]],"MMMM")</f>
        <v>February</v>
      </c>
      <c r="J488">
        <v>3</v>
      </c>
      <c r="K488">
        <v>18201</v>
      </c>
    </row>
    <row r="489" spans="1:11" x14ac:dyDescent="0.3">
      <c r="A489" t="s">
        <v>661</v>
      </c>
      <c r="B489" t="s">
        <v>237</v>
      </c>
      <c r="C489">
        <v>57</v>
      </c>
      <c r="D489" t="s">
        <v>13</v>
      </c>
      <c r="E489" t="s">
        <v>27</v>
      </c>
      <c r="F489" t="s">
        <v>63</v>
      </c>
      <c r="G489" s="1">
        <v>45970</v>
      </c>
      <c r="H489" s="1">
        <v>45985</v>
      </c>
      <c r="I489" s="1" t="str">
        <f>TEXT(Table1[[#This Row],[Admission Date]],"MMMM")</f>
        <v>November</v>
      </c>
      <c r="J489">
        <v>15</v>
      </c>
      <c r="K489">
        <v>137100</v>
      </c>
    </row>
    <row r="490" spans="1:11" x14ac:dyDescent="0.3">
      <c r="A490" t="s">
        <v>662</v>
      </c>
      <c r="B490" t="s">
        <v>77</v>
      </c>
      <c r="C490">
        <v>46</v>
      </c>
      <c r="D490" t="s">
        <v>18</v>
      </c>
      <c r="E490" t="s">
        <v>14</v>
      </c>
      <c r="F490" t="s">
        <v>43</v>
      </c>
      <c r="G490" s="1">
        <v>45879</v>
      </c>
      <c r="H490" s="1">
        <v>45882</v>
      </c>
      <c r="I490" s="1" t="str">
        <f>TEXT(Table1[[#This Row],[Admission Date]],"MMMM")</f>
        <v>August</v>
      </c>
      <c r="J490">
        <v>3</v>
      </c>
      <c r="K490">
        <v>29097</v>
      </c>
    </row>
    <row r="491" spans="1:11" x14ac:dyDescent="0.3">
      <c r="A491" t="s">
        <v>663</v>
      </c>
      <c r="B491" t="s">
        <v>186</v>
      </c>
      <c r="C491">
        <v>78</v>
      </c>
      <c r="D491" t="s">
        <v>18</v>
      </c>
      <c r="E491" t="s">
        <v>23</v>
      </c>
      <c r="F491" t="s">
        <v>15</v>
      </c>
      <c r="G491" s="1">
        <v>45730</v>
      </c>
      <c r="H491" s="1">
        <v>45732</v>
      </c>
      <c r="I491" s="1" t="str">
        <f>TEXT(Table1[[#This Row],[Admission Date]],"MMMM")</f>
        <v>March</v>
      </c>
      <c r="J491">
        <v>2</v>
      </c>
      <c r="K491">
        <v>8942</v>
      </c>
    </row>
    <row r="492" spans="1:11" x14ac:dyDescent="0.3">
      <c r="A492" t="s">
        <v>664</v>
      </c>
      <c r="B492" t="s">
        <v>257</v>
      </c>
      <c r="C492">
        <v>55</v>
      </c>
      <c r="D492" t="s">
        <v>18</v>
      </c>
      <c r="E492" t="s">
        <v>14</v>
      </c>
      <c r="F492" t="s">
        <v>43</v>
      </c>
      <c r="G492" s="1">
        <v>45775</v>
      </c>
      <c r="H492" s="1">
        <v>45779</v>
      </c>
      <c r="I492" s="1" t="str">
        <f>TEXT(Table1[[#This Row],[Admission Date]],"MMMM")</f>
        <v>April</v>
      </c>
      <c r="J492">
        <v>4</v>
      </c>
      <c r="K492">
        <v>35572</v>
      </c>
    </row>
    <row r="493" spans="1:11" x14ac:dyDescent="0.3">
      <c r="A493" t="s">
        <v>665</v>
      </c>
      <c r="B493" t="s">
        <v>237</v>
      </c>
      <c r="C493">
        <v>20</v>
      </c>
      <c r="D493" t="s">
        <v>13</v>
      </c>
      <c r="E493" t="s">
        <v>40</v>
      </c>
      <c r="F493" t="s">
        <v>35</v>
      </c>
      <c r="G493" s="1">
        <v>45978</v>
      </c>
      <c r="H493" s="1">
        <v>45981</v>
      </c>
      <c r="I493" s="1" t="str">
        <f>TEXT(Table1[[#This Row],[Admission Date]],"MMMM")</f>
        <v>November</v>
      </c>
      <c r="J493">
        <v>3</v>
      </c>
      <c r="K493">
        <v>19905</v>
      </c>
    </row>
    <row r="494" spans="1:11" x14ac:dyDescent="0.3">
      <c r="A494" t="s">
        <v>666</v>
      </c>
      <c r="B494" t="s">
        <v>155</v>
      </c>
      <c r="C494">
        <v>23</v>
      </c>
      <c r="D494" t="s">
        <v>13</v>
      </c>
      <c r="E494" t="s">
        <v>49</v>
      </c>
      <c r="F494" t="s">
        <v>15</v>
      </c>
      <c r="G494" s="1">
        <v>45680</v>
      </c>
      <c r="H494" s="1">
        <v>45683</v>
      </c>
      <c r="I494" s="1" t="str">
        <f>TEXT(Table1[[#This Row],[Admission Date]],"MMMM")</f>
        <v>January</v>
      </c>
      <c r="J494">
        <v>3</v>
      </c>
      <c r="K494">
        <v>15570</v>
      </c>
    </row>
    <row r="495" spans="1:11" x14ac:dyDescent="0.3">
      <c r="A495" t="s">
        <v>667</v>
      </c>
      <c r="B495" t="s">
        <v>71</v>
      </c>
      <c r="C495">
        <v>41</v>
      </c>
      <c r="D495" t="s">
        <v>18</v>
      </c>
      <c r="E495" t="s">
        <v>40</v>
      </c>
      <c r="F495" t="s">
        <v>60</v>
      </c>
      <c r="G495" s="1">
        <v>45925</v>
      </c>
      <c r="H495" s="1">
        <v>45937</v>
      </c>
      <c r="I495" s="1" t="str">
        <f>TEXT(Table1[[#This Row],[Admission Date]],"MMMM")</f>
        <v>September</v>
      </c>
      <c r="J495">
        <v>12</v>
      </c>
      <c r="K495">
        <v>75240</v>
      </c>
    </row>
    <row r="496" spans="1:11" x14ac:dyDescent="0.3">
      <c r="A496" t="s">
        <v>668</v>
      </c>
      <c r="B496" t="s">
        <v>145</v>
      </c>
      <c r="C496">
        <v>69</v>
      </c>
      <c r="D496" t="s">
        <v>18</v>
      </c>
      <c r="E496" t="s">
        <v>23</v>
      </c>
      <c r="F496" t="s">
        <v>35</v>
      </c>
      <c r="G496" s="1">
        <v>45905</v>
      </c>
      <c r="H496" s="1">
        <v>45913</v>
      </c>
      <c r="I496" s="1" t="str">
        <f>TEXT(Table1[[#This Row],[Admission Date]],"MMMM")</f>
        <v>September</v>
      </c>
      <c r="J496">
        <v>8</v>
      </c>
      <c r="K496">
        <v>73768</v>
      </c>
    </row>
    <row r="497" spans="1:11" x14ac:dyDescent="0.3">
      <c r="A497" t="s">
        <v>669</v>
      </c>
      <c r="B497" t="s">
        <v>344</v>
      </c>
      <c r="C497">
        <v>8</v>
      </c>
      <c r="D497" t="s">
        <v>18</v>
      </c>
      <c r="E497" t="s">
        <v>49</v>
      </c>
      <c r="F497" t="s">
        <v>63</v>
      </c>
      <c r="G497" s="1">
        <v>45976</v>
      </c>
      <c r="H497" s="1">
        <v>45988</v>
      </c>
      <c r="I497" s="1" t="str">
        <f>TEXT(Table1[[#This Row],[Admission Date]],"MMMM")</f>
        <v>November</v>
      </c>
      <c r="J497">
        <v>12</v>
      </c>
      <c r="K497">
        <v>73284</v>
      </c>
    </row>
    <row r="498" spans="1:11" x14ac:dyDescent="0.3">
      <c r="A498" t="s">
        <v>670</v>
      </c>
      <c r="B498" t="s">
        <v>77</v>
      </c>
      <c r="C498">
        <v>69</v>
      </c>
      <c r="D498" t="s">
        <v>18</v>
      </c>
      <c r="E498" t="s">
        <v>46</v>
      </c>
      <c r="F498" t="s">
        <v>28</v>
      </c>
      <c r="G498" s="1">
        <v>46011</v>
      </c>
      <c r="H498" s="1">
        <v>46024</v>
      </c>
      <c r="I498" s="1" t="str">
        <f>TEXT(Table1[[#This Row],[Admission Date]],"MMMM")</f>
        <v>December</v>
      </c>
      <c r="J498">
        <v>13</v>
      </c>
      <c r="K498">
        <v>114998</v>
      </c>
    </row>
    <row r="499" spans="1:11" x14ac:dyDescent="0.3">
      <c r="A499" t="s">
        <v>671</v>
      </c>
      <c r="B499" t="s">
        <v>48</v>
      </c>
      <c r="C499">
        <v>43</v>
      </c>
      <c r="D499" t="s">
        <v>13</v>
      </c>
      <c r="E499" t="s">
        <v>40</v>
      </c>
      <c r="F499" t="s">
        <v>63</v>
      </c>
      <c r="G499" s="1">
        <v>45895</v>
      </c>
      <c r="H499" s="1">
        <v>45905</v>
      </c>
      <c r="I499" s="1" t="str">
        <f>TEXT(Table1[[#This Row],[Admission Date]],"MMMM")</f>
        <v>August</v>
      </c>
      <c r="J499">
        <v>10</v>
      </c>
      <c r="K499">
        <v>114440</v>
      </c>
    </row>
    <row r="500" spans="1:11" x14ac:dyDescent="0.3">
      <c r="A500" t="s">
        <v>672</v>
      </c>
      <c r="B500" t="s">
        <v>73</v>
      </c>
      <c r="C500">
        <v>26</v>
      </c>
      <c r="D500" t="s">
        <v>13</v>
      </c>
      <c r="E500" t="s">
        <v>23</v>
      </c>
      <c r="F500" t="s">
        <v>35</v>
      </c>
      <c r="G500" s="1">
        <v>45887</v>
      </c>
      <c r="H500" s="1">
        <v>45888</v>
      </c>
      <c r="I500" s="1" t="str">
        <f>TEXT(Table1[[#This Row],[Admission Date]],"MMMM")</f>
        <v>August</v>
      </c>
      <c r="J500">
        <v>1</v>
      </c>
      <c r="K500">
        <v>6054</v>
      </c>
    </row>
    <row r="501" spans="1:11" x14ac:dyDescent="0.3">
      <c r="A501" t="s">
        <v>673</v>
      </c>
      <c r="B501" t="s">
        <v>313</v>
      </c>
      <c r="C501">
        <v>36</v>
      </c>
      <c r="D501" t="s">
        <v>13</v>
      </c>
      <c r="E501" t="s">
        <v>23</v>
      </c>
      <c r="F501" t="s">
        <v>15</v>
      </c>
      <c r="G501" s="1">
        <v>46001</v>
      </c>
      <c r="H501" s="1">
        <v>46010</v>
      </c>
      <c r="I501" s="1" t="str">
        <f>TEXT(Table1[[#This Row],[Admission Date]],"MMMM")</f>
        <v>December</v>
      </c>
      <c r="J501">
        <v>9</v>
      </c>
      <c r="K501">
        <v>87228</v>
      </c>
    </row>
    <row r="502" spans="1:11" x14ac:dyDescent="0.3">
      <c r="A502" t="s">
        <v>674</v>
      </c>
      <c r="B502" t="s">
        <v>367</v>
      </c>
      <c r="C502">
        <v>84</v>
      </c>
      <c r="D502" t="s">
        <v>18</v>
      </c>
      <c r="E502" t="s">
        <v>34</v>
      </c>
      <c r="F502" t="s">
        <v>35</v>
      </c>
      <c r="G502" s="1">
        <v>45705</v>
      </c>
      <c r="H502" s="1">
        <v>45708</v>
      </c>
      <c r="I502" s="1" t="str">
        <f>TEXT(Table1[[#This Row],[Admission Date]],"MMMM")</f>
        <v>February</v>
      </c>
      <c r="J502">
        <v>3</v>
      </c>
      <c r="K502">
        <v>24471</v>
      </c>
    </row>
    <row r="503" spans="1:11" x14ac:dyDescent="0.3">
      <c r="A503" t="s">
        <v>675</v>
      </c>
      <c r="B503" t="s">
        <v>462</v>
      </c>
      <c r="C503">
        <v>54</v>
      </c>
      <c r="D503" t="s">
        <v>13</v>
      </c>
      <c r="E503" t="s">
        <v>49</v>
      </c>
      <c r="F503" t="s">
        <v>15</v>
      </c>
      <c r="G503" s="1">
        <v>45918</v>
      </c>
      <c r="H503" s="1">
        <v>45923</v>
      </c>
      <c r="I503" s="1" t="str">
        <f>TEXT(Table1[[#This Row],[Admission Date]],"MMMM")</f>
        <v>September</v>
      </c>
      <c r="J503">
        <v>5</v>
      </c>
      <c r="K503">
        <v>29255</v>
      </c>
    </row>
    <row r="504" spans="1:11" x14ac:dyDescent="0.3">
      <c r="A504" t="s">
        <v>676</v>
      </c>
      <c r="B504" t="s">
        <v>410</v>
      </c>
      <c r="C504">
        <v>27</v>
      </c>
      <c r="D504" t="s">
        <v>18</v>
      </c>
      <c r="E504" t="s">
        <v>46</v>
      </c>
      <c r="F504" t="s">
        <v>15</v>
      </c>
      <c r="G504" s="1">
        <v>45905</v>
      </c>
      <c r="H504" s="1">
        <v>45915</v>
      </c>
      <c r="I504" s="1" t="str">
        <f>TEXT(Table1[[#This Row],[Admission Date]],"MMMM")</f>
        <v>September</v>
      </c>
      <c r="J504">
        <v>10</v>
      </c>
      <c r="K504">
        <v>81910</v>
      </c>
    </row>
    <row r="505" spans="1:11" x14ac:dyDescent="0.3">
      <c r="A505" t="s">
        <v>677</v>
      </c>
      <c r="B505" t="s">
        <v>212</v>
      </c>
      <c r="C505">
        <v>36</v>
      </c>
      <c r="D505" t="s">
        <v>18</v>
      </c>
      <c r="E505" t="s">
        <v>40</v>
      </c>
      <c r="F505" t="s">
        <v>60</v>
      </c>
      <c r="G505" s="1">
        <v>45914</v>
      </c>
      <c r="H505" s="1">
        <v>45927</v>
      </c>
      <c r="I505" s="1" t="str">
        <f>TEXT(Table1[[#This Row],[Admission Date]],"MMMM")</f>
        <v>September</v>
      </c>
      <c r="J505">
        <v>13</v>
      </c>
      <c r="K505">
        <v>84539</v>
      </c>
    </row>
    <row r="506" spans="1:11" x14ac:dyDescent="0.3">
      <c r="A506" t="s">
        <v>678</v>
      </c>
      <c r="B506" t="s">
        <v>33</v>
      </c>
      <c r="C506">
        <v>42</v>
      </c>
      <c r="D506" t="s">
        <v>13</v>
      </c>
      <c r="E506" t="s">
        <v>31</v>
      </c>
      <c r="F506" t="s">
        <v>20</v>
      </c>
      <c r="G506" s="1">
        <v>45957</v>
      </c>
      <c r="H506" s="1">
        <v>45965</v>
      </c>
      <c r="I506" s="1" t="str">
        <f>TEXT(Table1[[#This Row],[Admission Date]],"MMMM")</f>
        <v>October</v>
      </c>
      <c r="J506">
        <v>8</v>
      </c>
      <c r="K506">
        <v>66864</v>
      </c>
    </row>
    <row r="507" spans="1:11" x14ac:dyDescent="0.3">
      <c r="A507" t="s">
        <v>679</v>
      </c>
      <c r="B507" t="s">
        <v>147</v>
      </c>
      <c r="C507">
        <v>16</v>
      </c>
      <c r="D507" t="s">
        <v>18</v>
      </c>
      <c r="E507" t="s">
        <v>27</v>
      </c>
      <c r="F507" t="s">
        <v>35</v>
      </c>
      <c r="G507" s="1">
        <v>45846</v>
      </c>
      <c r="H507" s="1">
        <v>45854</v>
      </c>
      <c r="I507" s="1" t="str">
        <f>TEXT(Table1[[#This Row],[Admission Date]],"MMMM")</f>
        <v>July</v>
      </c>
      <c r="J507">
        <v>8</v>
      </c>
      <c r="K507">
        <v>56328</v>
      </c>
    </row>
    <row r="508" spans="1:11" x14ac:dyDescent="0.3">
      <c r="A508" t="s">
        <v>680</v>
      </c>
      <c r="B508" t="s">
        <v>212</v>
      </c>
      <c r="C508">
        <v>41</v>
      </c>
      <c r="D508" t="s">
        <v>18</v>
      </c>
      <c r="E508" t="s">
        <v>14</v>
      </c>
      <c r="F508" t="s">
        <v>35</v>
      </c>
      <c r="G508" s="1">
        <v>46018</v>
      </c>
      <c r="H508" s="1">
        <v>46019</v>
      </c>
      <c r="I508" s="1" t="str">
        <f>TEXT(Table1[[#This Row],[Admission Date]],"MMMM")</f>
        <v>December</v>
      </c>
      <c r="J508">
        <v>1</v>
      </c>
      <c r="K508">
        <v>11144</v>
      </c>
    </row>
    <row r="509" spans="1:11" x14ac:dyDescent="0.3">
      <c r="A509" t="s">
        <v>681</v>
      </c>
      <c r="B509" t="s">
        <v>90</v>
      </c>
      <c r="C509">
        <v>90</v>
      </c>
      <c r="D509" t="s">
        <v>13</v>
      </c>
      <c r="E509" t="s">
        <v>23</v>
      </c>
      <c r="F509" t="s">
        <v>35</v>
      </c>
      <c r="G509" s="1">
        <v>45954</v>
      </c>
      <c r="H509" s="1">
        <v>45959</v>
      </c>
      <c r="I509" s="1" t="str">
        <f>TEXT(Table1[[#This Row],[Admission Date]],"MMMM")</f>
        <v>October</v>
      </c>
      <c r="J509">
        <v>5</v>
      </c>
      <c r="K509">
        <v>47025</v>
      </c>
    </row>
    <row r="510" spans="1:11" x14ac:dyDescent="0.3">
      <c r="A510" t="s">
        <v>682</v>
      </c>
      <c r="B510" t="s">
        <v>683</v>
      </c>
      <c r="C510">
        <v>68</v>
      </c>
      <c r="D510" t="s">
        <v>13</v>
      </c>
      <c r="E510" t="s">
        <v>31</v>
      </c>
      <c r="F510" t="s">
        <v>43</v>
      </c>
      <c r="G510" s="1">
        <v>45730</v>
      </c>
      <c r="H510" s="1">
        <v>45735</v>
      </c>
      <c r="I510" s="1" t="str">
        <f>TEXT(Table1[[#This Row],[Admission Date]],"MMMM")</f>
        <v>March</v>
      </c>
      <c r="J510">
        <v>5</v>
      </c>
      <c r="K510">
        <v>46510</v>
      </c>
    </row>
    <row r="511" spans="1:11" x14ac:dyDescent="0.3">
      <c r="A511" t="s">
        <v>684</v>
      </c>
      <c r="B511" t="s">
        <v>218</v>
      </c>
      <c r="C511">
        <v>78</v>
      </c>
      <c r="D511" t="s">
        <v>18</v>
      </c>
      <c r="E511" t="s">
        <v>14</v>
      </c>
      <c r="F511" t="s">
        <v>28</v>
      </c>
      <c r="G511" s="1">
        <v>45739</v>
      </c>
      <c r="H511" s="1">
        <v>45748</v>
      </c>
      <c r="I511" s="1" t="str">
        <f>TEXT(Table1[[#This Row],[Admission Date]],"MMMM")</f>
        <v>March</v>
      </c>
      <c r="J511">
        <v>9</v>
      </c>
      <c r="K511">
        <v>64926</v>
      </c>
    </row>
    <row r="512" spans="1:11" x14ac:dyDescent="0.3">
      <c r="A512" t="s">
        <v>685</v>
      </c>
      <c r="B512" t="s">
        <v>113</v>
      </c>
      <c r="C512">
        <v>62</v>
      </c>
      <c r="D512" t="s">
        <v>18</v>
      </c>
      <c r="E512" t="s">
        <v>31</v>
      </c>
      <c r="F512" t="s">
        <v>60</v>
      </c>
      <c r="G512" s="1">
        <v>46002</v>
      </c>
      <c r="H512" s="1">
        <v>46012</v>
      </c>
      <c r="I512" s="1" t="str">
        <f>TEXT(Table1[[#This Row],[Admission Date]],"MMMM")</f>
        <v>December</v>
      </c>
      <c r="J512">
        <v>10</v>
      </c>
      <c r="K512">
        <v>49270</v>
      </c>
    </row>
    <row r="513" spans="1:11" x14ac:dyDescent="0.3">
      <c r="A513" t="s">
        <v>686</v>
      </c>
      <c r="B513" t="s">
        <v>169</v>
      </c>
      <c r="C513">
        <v>88</v>
      </c>
      <c r="D513" t="s">
        <v>18</v>
      </c>
      <c r="E513" t="s">
        <v>31</v>
      </c>
      <c r="F513" t="s">
        <v>60</v>
      </c>
      <c r="G513" s="1">
        <v>45809</v>
      </c>
      <c r="H513" s="1">
        <v>45824</v>
      </c>
      <c r="I513" s="1" t="str">
        <f>TEXT(Table1[[#This Row],[Admission Date]],"MMMM")</f>
        <v>June</v>
      </c>
      <c r="J513">
        <v>15</v>
      </c>
      <c r="K513">
        <v>79035</v>
      </c>
    </row>
    <row r="514" spans="1:11" x14ac:dyDescent="0.3">
      <c r="A514" t="s">
        <v>687</v>
      </c>
      <c r="B514" t="s">
        <v>124</v>
      </c>
      <c r="C514">
        <v>41</v>
      </c>
      <c r="D514" t="s">
        <v>13</v>
      </c>
      <c r="E514" t="s">
        <v>14</v>
      </c>
      <c r="F514" t="s">
        <v>60</v>
      </c>
      <c r="G514" s="1">
        <v>45703</v>
      </c>
      <c r="H514" s="1">
        <v>45715</v>
      </c>
      <c r="I514" s="1" t="str">
        <f>TEXT(Table1[[#This Row],[Admission Date]],"MMMM")</f>
        <v>February</v>
      </c>
      <c r="J514">
        <v>12</v>
      </c>
      <c r="K514">
        <v>99444</v>
      </c>
    </row>
    <row r="515" spans="1:11" x14ac:dyDescent="0.3">
      <c r="A515" t="s">
        <v>688</v>
      </c>
      <c r="B515" t="s">
        <v>232</v>
      </c>
      <c r="C515">
        <v>90</v>
      </c>
      <c r="D515" t="s">
        <v>13</v>
      </c>
      <c r="E515" t="s">
        <v>103</v>
      </c>
      <c r="F515" t="s">
        <v>63</v>
      </c>
      <c r="G515" s="1">
        <v>45929</v>
      </c>
      <c r="H515" s="1">
        <v>45934</v>
      </c>
      <c r="I515" s="1" t="str">
        <f>TEXT(Table1[[#This Row],[Admission Date]],"MMMM")</f>
        <v>September</v>
      </c>
      <c r="J515">
        <v>5</v>
      </c>
      <c r="K515">
        <v>56180</v>
      </c>
    </row>
    <row r="516" spans="1:11" x14ac:dyDescent="0.3">
      <c r="A516" t="s">
        <v>689</v>
      </c>
      <c r="B516" t="s">
        <v>90</v>
      </c>
      <c r="C516">
        <v>26</v>
      </c>
      <c r="D516" t="s">
        <v>18</v>
      </c>
      <c r="E516" t="s">
        <v>46</v>
      </c>
      <c r="F516" t="s">
        <v>15</v>
      </c>
      <c r="G516" s="1">
        <v>45971</v>
      </c>
      <c r="H516" s="1">
        <v>45983</v>
      </c>
      <c r="I516" s="1" t="str">
        <f>TEXT(Table1[[#This Row],[Admission Date]],"MMMM")</f>
        <v>November</v>
      </c>
      <c r="J516">
        <v>12</v>
      </c>
      <c r="K516">
        <v>119316</v>
      </c>
    </row>
    <row r="517" spans="1:11" x14ac:dyDescent="0.3">
      <c r="A517" t="s">
        <v>690</v>
      </c>
      <c r="B517" t="s">
        <v>691</v>
      </c>
      <c r="C517">
        <v>44</v>
      </c>
      <c r="D517" t="s">
        <v>13</v>
      </c>
      <c r="E517" t="s">
        <v>49</v>
      </c>
      <c r="F517" t="s">
        <v>28</v>
      </c>
      <c r="G517" s="1">
        <v>45675</v>
      </c>
      <c r="H517" s="1">
        <v>45683</v>
      </c>
      <c r="I517" s="1" t="str">
        <f>TEXT(Table1[[#This Row],[Admission Date]],"MMMM")</f>
        <v>January</v>
      </c>
      <c r="J517">
        <v>8</v>
      </c>
      <c r="K517">
        <v>69368</v>
      </c>
    </row>
    <row r="518" spans="1:11" x14ac:dyDescent="0.3">
      <c r="A518" t="s">
        <v>692</v>
      </c>
      <c r="B518" t="s">
        <v>149</v>
      </c>
      <c r="C518">
        <v>36</v>
      </c>
      <c r="D518" t="s">
        <v>18</v>
      </c>
      <c r="E518" t="s">
        <v>103</v>
      </c>
      <c r="F518" t="s">
        <v>43</v>
      </c>
      <c r="G518" s="1">
        <v>45921</v>
      </c>
      <c r="H518" s="1">
        <v>45927</v>
      </c>
      <c r="I518" s="1" t="str">
        <f>TEXT(Table1[[#This Row],[Admission Date]],"MMMM")</f>
        <v>September</v>
      </c>
      <c r="J518">
        <v>6</v>
      </c>
      <c r="K518">
        <v>50142</v>
      </c>
    </row>
    <row r="519" spans="1:11" x14ac:dyDescent="0.3">
      <c r="A519" t="s">
        <v>693</v>
      </c>
      <c r="B519" t="s">
        <v>92</v>
      </c>
      <c r="C519">
        <v>57</v>
      </c>
      <c r="D519" t="s">
        <v>13</v>
      </c>
      <c r="E519" t="s">
        <v>14</v>
      </c>
      <c r="F519" t="s">
        <v>35</v>
      </c>
      <c r="G519" s="1">
        <v>45856</v>
      </c>
      <c r="H519" s="1">
        <v>45857</v>
      </c>
      <c r="I519" s="1" t="str">
        <f>TEXT(Table1[[#This Row],[Admission Date]],"MMMM")</f>
        <v>July</v>
      </c>
      <c r="J519">
        <v>1</v>
      </c>
      <c r="K519">
        <v>4497</v>
      </c>
    </row>
    <row r="520" spans="1:11" x14ac:dyDescent="0.3">
      <c r="A520" t="s">
        <v>694</v>
      </c>
      <c r="B520" t="s">
        <v>101</v>
      </c>
      <c r="C520">
        <v>43</v>
      </c>
      <c r="D520" t="s">
        <v>13</v>
      </c>
      <c r="E520" t="s">
        <v>103</v>
      </c>
      <c r="F520" t="s">
        <v>28</v>
      </c>
      <c r="G520" s="1">
        <v>45987</v>
      </c>
      <c r="H520" s="1">
        <v>46002</v>
      </c>
      <c r="I520" s="1" t="str">
        <f>TEXT(Table1[[#This Row],[Admission Date]],"MMMM")</f>
        <v>November</v>
      </c>
      <c r="J520">
        <v>15</v>
      </c>
      <c r="K520">
        <v>115590</v>
      </c>
    </row>
    <row r="521" spans="1:11" x14ac:dyDescent="0.3">
      <c r="A521" t="s">
        <v>695</v>
      </c>
      <c r="B521" t="s">
        <v>90</v>
      </c>
      <c r="C521">
        <v>61</v>
      </c>
      <c r="D521" t="s">
        <v>18</v>
      </c>
      <c r="E521" t="s">
        <v>19</v>
      </c>
      <c r="F521" t="s">
        <v>60</v>
      </c>
      <c r="G521" s="1">
        <v>46015</v>
      </c>
      <c r="H521" s="1">
        <v>46026</v>
      </c>
      <c r="I521" s="1" t="str">
        <f>TEXT(Table1[[#This Row],[Admission Date]],"MMMM")</f>
        <v>December</v>
      </c>
      <c r="J521">
        <v>11</v>
      </c>
      <c r="K521">
        <v>90563</v>
      </c>
    </row>
    <row r="522" spans="1:11" x14ac:dyDescent="0.3">
      <c r="A522" t="s">
        <v>696</v>
      </c>
      <c r="B522" t="s">
        <v>268</v>
      </c>
      <c r="C522">
        <v>66</v>
      </c>
      <c r="D522" t="s">
        <v>18</v>
      </c>
      <c r="E522" t="s">
        <v>19</v>
      </c>
      <c r="F522" t="s">
        <v>35</v>
      </c>
      <c r="G522" s="1">
        <v>45678</v>
      </c>
      <c r="H522" s="1">
        <v>45685</v>
      </c>
      <c r="I522" s="1" t="str">
        <f>TEXT(Table1[[#This Row],[Admission Date]],"MMMM")</f>
        <v>January</v>
      </c>
      <c r="J522">
        <v>7</v>
      </c>
      <c r="K522">
        <v>38276</v>
      </c>
    </row>
    <row r="523" spans="1:11" x14ac:dyDescent="0.3">
      <c r="A523" t="s">
        <v>697</v>
      </c>
      <c r="B523" t="s">
        <v>395</v>
      </c>
      <c r="C523">
        <v>41</v>
      </c>
      <c r="D523" t="s">
        <v>13</v>
      </c>
      <c r="E523" t="s">
        <v>46</v>
      </c>
      <c r="F523" t="s">
        <v>28</v>
      </c>
      <c r="G523" s="1">
        <v>45686</v>
      </c>
      <c r="H523" s="1">
        <v>45688</v>
      </c>
      <c r="I523" s="1" t="str">
        <f>TEXT(Table1[[#This Row],[Admission Date]],"MMMM")</f>
        <v>January</v>
      </c>
      <c r="J523">
        <v>2</v>
      </c>
      <c r="K523">
        <v>18364</v>
      </c>
    </row>
    <row r="524" spans="1:11" x14ac:dyDescent="0.3">
      <c r="A524" t="s">
        <v>698</v>
      </c>
      <c r="B524" t="s">
        <v>152</v>
      </c>
      <c r="C524">
        <v>40</v>
      </c>
      <c r="D524" t="s">
        <v>13</v>
      </c>
      <c r="E524" t="s">
        <v>46</v>
      </c>
      <c r="F524" t="s">
        <v>43</v>
      </c>
      <c r="G524" s="1">
        <v>45837</v>
      </c>
      <c r="H524" s="1">
        <v>45850</v>
      </c>
      <c r="I524" s="1" t="str">
        <f>TEXT(Table1[[#This Row],[Admission Date]],"MMMM")</f>
        <v>June</v>
      </c>
      <c r="J524">
        <v>13</v>
      </c>
      <c r="K524">
        <v>153179</v>
      </c>
    </row>
    <row r="525" spans="1:11" x14ac:dyDescent="0.3">
      <c r="A525" t="s">
        <v>699</v>
      </c>
      <c r="B525" t="s">
        <v>124</v>
      </c>
      <c r="C525">
        <v>35</v>
      </c>
      <c r="D525" t="s">
        <v>13</v>
      </c>
      <c r="E525" t="s">
        <v>31</v>
      </c>
      <c r="F525" t="s">
        <v>60</v>
      </c>
      <c r="G525" s="1">
        <v>45983</v>
      </c>
      <c r="H525" s="1">
        <v>45992</v>
      </c>
      <c r="I525" s="1" t="str">
        <f>TEXT(Table1[[#This Row],[Admission Date]],"MMMM")</f>
        <v>November</v>
      </c>
      <c r="J525">
        <v>9</v>
      </c>
      <c r="K525">
        <v>83340</v>
      </c>
    </row>
    <row r="526" spans="1:11" x14ac:dyDescent="0.3">
      <c r="A526" t="s">
        <v>700</v>
      </c>
      <c r="B526" t="s">
        <v>208</v>
      </c>
      <c r="C526">
        <v>49</v>
      </c>
      <c r="D526" t="s">
        <v>13</v>
      </c>
      <c r="E526" t="s">
        <v>49</v>
      </c>
      <c r="F526" t="s">
        <v>15</v>
      </c>
      <c r="G526" s="1">
        <v>45715</v>
      </c>
      <c r="H526" s="1">
        <v>45721</v>
      </c>
      <c r="I526" s="1" t="str">
        <f>TEXT(Table1[[#This Row],[Admission Date]],"MMMM")</f>
        <v>February</v>
      </c>
      <c r="J526">
        <v>6</v>
      </c>
      <c r="K526">
        <v>57120</v>
      </c>
    </row>
    <row r="527" spans="1:11" x14ac:dyDescent="0.3">
      <c r="A527" t="s">
        <v>701</v>
      </c>
      <c r="B527" t="s">
        <v>472</v>
      </c>
      <c r="C527">
        <v>43</v>
      </c>
      <c r="D527" t="s">
        <v>13</v>
      </c>
      <c r="E527" t="s">
        <v>40</v>
      </c>
      <c r="F527" t="s">
        <v>20</v>
      </c>
      <c r="G527" s="1">
        <v>45705</v>
      </c>
      <c r="H527" s="1">
        <v>45714</v>
      </c>
      <c r="I527" s="1" t="str">
        <f>TEXT(Table1[[#This Row],[Admission Date]],"MMMM")</f>
        <v>February</v>
      </c>
      <c r="J527">
        <v>9</v>
      </c>
      <c r="K527">
        <v>78777</v>
      </c>
    </row>
    <row r="528" spans="1:11" x14ac:dyDescent="0.3">
      <c r="A528" t="s">
        <v>702</v>
      </c>
      <c r="B528" t="s">
        <v>436</v>
      </c>
      <c r="C528">
        <v>64</v>
      </c>
      <c r="D528" t="s">
        <v>18</v>
      </c>
      <c r="E528" t="s">
        <v>49</v>
      </c>
      <c r="F528" t="s">
        <v>63</v>
      </c>
      <c r="G528" s="1">
        <v>45859</v>
      </c>
      <c r="H528" s="1">
        <v>45861</v>
      </c>
      <c r="I528" s="1" t="str">
        <f>TEXT(Table1[[#This Row],[Admission Date]],"MMMM")</f>
        <v>July</v>
      </c>
      <c r="J528">
        <v>2</v>
      </c>
      <c r="K528">
        <v>10104</v>
      </c>
    </row>
    <row r="529" spans="1:11" x14ac:dyDescent="0.3">
      <c r="A529" t="s">
        <v>703</v>
      </c>
      <c r="B529" t="s">
        <v>140</v>
      </c>
      <c r="C529">
        <v>72</v>
      </c>
      <c r="D529" t="s">
        <v>13</v>
      </c>
      <c r="E529" t="s">
        <v>14</v>
      </c>
      <c r="F529" t="s">
        <v>24</v>
      </c>
      <c r="G529" s="1">
        <v>45668</v>
      </c>
      <c r="H529" s="1">
        <v>45682</v>
      </c>
      <c r="I529" s="1" t="str">
        <f>TEXT(Table1[[#This Row],[Admission Date]],"MMMM")</f>
        <v>January</v>
      </c>
      <c r="J529">
        <v>14</v>
      </c>
      <c r="K529">
        <v>158186</v>
      </c>
    </row>
    <row r="530" spans="1:11" x14ac:dyDescent="0.3">
      <c r="A530" t="s">
        <v>704</v>
      </c>
      <c r="B530" t="s">
        <v>22</v>
      </c>
      <c r="C530">
        <v>21</v>
      </c>
      <c r="D530" t="s">
        <v>13</v>
      </c>
      <c r="E530" t="s">
        <v>34</v>
      </c>
      <c r="F530" t="s">
        <v>63</v>
      </c>
      <c r="G530" s="1">
        <v>45818</v>
      </c>
      <c r="H530" s="1">
        <v>45827</v>
      </c>
      <c r="I530" s="1" t="str">
        <f>TEXT(Table1[[#This Row],[Admission Date]],"MMMM")</f>
        <v>June</v>
      </c>
      <c r="J530">
        <v>9</v>
      </c>
      <c r="K530">
        <v>78210</v>
      </c>
    </row>
    <row r="531" spans="1:11" x14ac:dyDescent="0.3">
      <c r="A531" t="s">
        <v>705</v>
      </c>
      <c r="B531" t="s">
        <v>33</v>
      </c>
      <c r="C531">
        <v>45</v>
      </c>
      <c r="D531" t="s">
        <v>13</v>
      </c>
      <c r="E531" t="s">
        <v>103</v>
      </c>
      <c r="F531" t="s">
        <v>20</v>
      </c>
      <c r="G531" s="1">
        <v>45744</v>
      </c>
      <c r="H531" s="1">
        <v>45754</v>
      </c>
      <c r="I531" s="1" t="str">
        <f>TEXT(Table1[[#This Row],[Admission Date]],"MMMM")</f>
        <v>March</v>
      </c>
      <c r="J531">
        <v>10</v>
      </c>
      <c r="K531">
        <v>96320</v>
      </c>
    </row>
    <row r="532" spans="1:11" x14ac:dyDescent="0.3">
      <c r="A532" t="s">
        <v>706</v>
      </c>
      <c r="B532" t="s">
        <v>362</v>
      </c>
      <c r="C532">
        <v>87</v>
      </c>
      <c r="D532" t="s">
        <v>13</v>
      </c>
      <c r="E532" t="s">
        <v>23</v>
      </c>
      <c r="F532" t="s">
        <v>35</v>
      </c>
      <c r="G532" s="1">
        <v>45830</v>
      </c>
      <c r="H532" s="1">
        <v>45841</v>
      </c>
      <c r="I532" s="1" t="str">
        <f>TEXT(Table1[[#This Row],[Admission Date]],"MMMM")</f>
        <v>June</v>
      </c>
      <c r="J532">
        <v>11</v>
      </c>
      <c r="K532">
        <v>52228</v>
      </c>
    </row>
    <row r="533" spans="1:11" x14ac:dyDescent="0.3">
      <c r="A533" t="s">
        <v>707</v>
      </c>
      <c r="B533" t="s">
        <v>67</v>
      </c>
      <c r="C533">
        <v>12</v>
      </c>
      <c r="D533" t="s">
        <v>18</v>
      </c>
      <c r="E533" t="s">
        <v>46</v>
      </c>
      <c r="F533" t="s">
        <v>43</v>
      </c>
      <c r="G533" s="1">
        <v>45898</v>
      </c>
      <c r="H533" s="1">
        <v>45905</v>
      </c>
      <c r="I533" s="1" t="str">
        <f>TEXT(Table1[[#This Row],[Admission Date]],"MMMM")</f>
        <v>August</v>
      </c>
      <c r="J533">
        <v>7</v>
      </c>
      <c r="K533">
        <v>70182</v>
      </c>
    </row>
    <row r="534" spans="1:11" x14ac:dyDescent="0.3">
      <c r="A534" t="s">
        <v>708</v>
      </c>
      <c r="B534" t="s">
        <v>268</v>
      </c>
      <c r="C534">
        <v>73</v>
      </c>
      <c r="D534" t="s">
        <v>18</v>
      </c>
      <c r="E534" t="s">
        <v>49</v>
      </c>
      <c r="F534" t="s">
        <v>15</v>
      </c>
      <c r="G534" s="1">
        <v>45787</v>
      </c>
      <c r="H534" s="1">
        <v>45795</v>
      </c>
      <c r="I534" s="1" t="str">
        <f>TEXT(Table1[[#This Row],[Admission Date]],"MMMM")</f>
        <v>May</v>
      </c>
      <c r="J534">
        <v>8</v>
      </c>
      <c r="K534">
        <v>70208</v>
      </c>
    </row>
    <row r="535" spans="1:11" x14ac:dyDescent="0.3">
      <c r="A535" t="s">
        <v>709</v>
      </c>
      <c r="B535" t="s">
        <v>48</v>
      </c>
      <c r="C535">
        <v>35</v>
      </c>
      <c r="D535" t="s">
        <v>18</v>
      </c>
      <c r="E535" t="s">
        <v>49</v>
      </c>
      <c r="F535" t="s">
        <v>15</v>
      </c>
      <c r="G535" s="1">
        <v>45906</v>
      </c>
      <c r="H535" s="1">
        <v>45913</v>
      </c>
      <c r="I535" s="1" t="str">
        <f>TEXT(Table1[[#This Row],[Admission Date]],"MMMM")</f>
        <v>September</v>
      </c>
      <c r="J535">
        <v>7</v>
      </c>
      <c r="K535">
        <v>45549</v>
      </c>
    </row>
    <row r="536" spans="1:11" x14ac:dyDescent="0.3">
      <c r="A536" t="s">
        <v>710</v>
      </c>
      <c r="B536" t="s">
        <v>163</v>
      </c>
      <c r="C536">
        <v>30</v>
      </c>
      <c r="D536" t="s">
        <v>13</v>
      </c>
      <c r="E536" t="s">
        <v>19</v>
      </c>
      <c r="F536" t="s">
        <v>43</v>
      </c>
      <c r="G536" s="1">
        <v>45681</v>
      </c>
      <c r="H536" s="1">
        <v>45692</v>
      </c>
      <c r="I536" s="1" t="str">
        <f>TEXT(Table1[[#This Row],[Admission Date]],"MMMM")</f>
        <v>January</v>
      </c>
      <c r="J536">
        <v>11</v>
      </c>
      <c r="K536">
        <v>122815</v>
      </c>
    </row>
    <row r="537" spans="1:11" x14ac:dyDescent="0.3">
      <c r="A537" t="s">
        <v>711</v>
      </c>
      <c r="B537" t="s">
        <v>465</v>
      </c>
      <c r="C537">
        <v>78</v>
      </c>
      <c r="D537" t="s">
        <v>18</v>
      </c>
      <c r="E537" t="s">
        <v>27</v>
      </c>
      <c r="F537" t="s">
        <v>28</v>
      </c>
      <c r="G537" s="1">
        <v>45802</v>
      </c>
      <c r="H537" s="1">
        <v>45809</v>
      </c>
      <c r="I537" s="1" t="str">
        <f>TEXT(Table1[[#This Row],[Admission Date]],"MMMM")</f>
        <v>May</v>
      </c>
      <c r="J537">
        <v>7</v>
      </c>
      <c r="K537">
        <v>67228</v>
      </c>
    </row>
    <row r="538" spans="1:11" x14ac:dyDescent="0.3">
      <c r="A538" t="s">
        <v>712</v>
      </c>
      <c r="B538" t="s">
        <v>713</v>
      </c>
      <c r="C538">
        <v>87</v>
      </c>
      <c r="D538" t="s">
        <v>18</v>
      </c>
      <c r="E538" t="s">
        <v>34</v>
      </c>
      <c r="F538" t="s">
        <v>20</v>
      </c>
      <c r="G538" s="1">
        <v>45688</v>
      </c>
      <c r="H538" s="1">
        <v>45701</v>
      </c>
      <c r="I538" s="1" t="str">
        <f>TEXT(Table1[[#This Row],[Admission Date]],"MMMM")</f>
        <v>January</v>
      </c>
      <c r="J538">
        <v>13</v>
      </c>
      <c r="K538">
        <v>127686</v>
      </c>
    </row>
    <row r="539" spans="1:11" x14ac:dyDescent="0.3">
      <c r="A539" t="s">
        <v>714</v>
      </c>
      <c r="B539" t="s">
        <v>94</v>
      </c>
      <c r="C539">
        <v>47</v>
      </c>
      <c r="D539" t="s">
        <v>13</v>
      </c>
      <c r="E539" t="s">
        <v>31</v>
      </c>
      <c r="F539" t="s">
        <v>15</v>
      </c>
      <c r="G539" s="1">
        <v>45686</v>
      </c>
      <c r="H539" s="1">
        <v>45695</v>
      </c>
      <c r="I539" s="1" t="str">
        <f>TEXT(Table1[[#This Row],[Admission Date]],"MMMM")</f>
        <v>January</v>
      </c>
      <c r="J539">
        <v>9</v>
      </c>
      <c r="K539">
        <v>69417</v>
      </c>
    </row>
    <row r="540" spans="1:11" x14ac:dyDescent="0.3">
      <c r="A540" t="s">
        <v>715</v>
      </c>
      <c r="B540" t="s">
        <v>482</v>
      </c>
      <c r="C540">
        <v>51</v>
      </c>
      <c r="D540" t="s">
        <v>13</v>
      </c>
      <c r="E540" t="s">
        <v>103</v>
      </c>
      <c r="F540" t="s">
        <v>28</v>
      </c>
      <c r="G540" s="1">
        <v>46013</v>
      </c>
      <c r="H540" s="1">
        <v>46020</v>
      </c>
      <c r="I540" s="1" t="str">
        <f>TEXT(Table1[[#This Row],[Admission Date]],"MMMM")</f>
        <v>December</v>
      </c>
      <c r="J540">
        <v>7</v>
      </c>
      <c r="K540">
        <v>42833</v>
      </c>
    </row>
    <row r="541" spans="1:11" x14ac:dyDescent="0.3">
      <c r="A541" t="s">
        <v>716</v>
      </c>
      <c r="B541" t="s">
        <v>182</v>
      </c>
      <c r="C541">
        <v>45</v>
      </c>
      <c r="D541" t="s">
        <v>18</v>
      </c>
      <c r="E541" t="s">
        <v>19</v>
      </c>
      <c r="F541" t="s">
        <v>24</v>
      </c>
      <c r="G541" s="1">
        <v>45756</v>
      </c>
      <c r="H541" s="1">
        <v>45760</v>
      </c>
      <c r="I541" s="1" t="str">
        <f>TEXT(Table1[[#This Row],[Admission Date]],"MMMM")</f>
        <v>April</v>
      </c>
      <c r="J541">
        <v>4</v>
      </c>
      <c r="K541">
        <v>33140</v>
      </c>
    </row>
    <row r="542" spans="1:11" x14ac:dyDescent="0.3">
      <c r="A542" t="s">
        <v>717</v>
      </c>
      <c r="B542" t="s">
        <v>398</v>
      </c>
      <c r="C542">
        <v>90</v>
      </c>
      <c r="D542" t="s">
        <v>18</v>
      </c>
      <c r="E542" t="s">
        <v>27</v>
      </c>
      <c r="F542" t="s">
        <v>20</v>
      </c>
      <c r="G542" s="1">
        <v>45704</v>
      </c>
      <c r="H542" s="1">
        <v>45713</v>
      </c>
      <c r="I542" s="1" t="str">
        <f>TEXT(Table1[[#This Row],[Admission Date]],"MMMM")</f>
        <v>February</v>
      </c>
      <c r="J542">
        <v>9</v>
      </c>
      <c r="K542">
        <v>83871</v>
      </c>
    </row>
    <row r="543" spans="1:11" x14ac:dyDescent="0.3">
      <c r="A543" t="s">
        <v>718</v>
      </c>
      <c r="B543" t="s">
        <v>302</v>
      </c>
      <c r="C543">
        <v>65</v>
      </c>
      <c r="D543" t="s">
        <v>13</v>
      </c>
      <c r="E543" t="s">
        <v>34</v>
      </c>
      <c r="F543" t="s">
        <v>20</v>
      </c>
      <c r="G543" s="1">
        <v>45856</v>
      </c>
      <c r="H543" s="1">
        <v>45866</v>
      </c>
      <c r="I543" s="1" t="str">
        <f>TEXT(Table1[[#This Row],[Admission Date]],"MMMM")</f>
        <v>July</v>
      </c>
      <c r="J543">
        <v>10</v>
      </c>
      <c r="K543">
        <v>76440</v>
      </c>
    </row>
    <row r="544" spans="1:11" x14ac:dyDescent="0.3">
      <c r="A544" t="s">
        <v>719</v>
      </c>
      <c r="B544" t="s">
        <v>159</v>
      </c>
      <c r="C544">
        <v>18</v>
      </c>
      <c r="D544" t="s">
        <v>13</v>
      </c>
      <c r="E544" t="s">
        <v>31</v>
      </c>
      <c r="F544" t="s">
        <v>28</v>
      </c>
      <c r="G544" s="1">
        <v>45987</v>
      </c>
      <c r="H544" s="1">
        <v>45988</v>
      </c>
      <c r="I544" s="1" t="str">
        <f>TEXT(Table1[[#This Row],[Admission Date]],"MMMM")</f>
        <v>November</v>
      </c>
      <c r="J544">
        <v>1</v>
      </c>
      <c r="K544">
        <v>9170</v>
      </c>
    </row>
    <row r="545" spans="1:11" x14ac:dyDescent="0.3">
      <c r="A545" t="s">
        <v>720</v>
      </c>
      <c r="B545" t="s">
        <v>124</v>
      </c>
      <c r="C545">
        <v>33</v>
      </c>
      <c r="D545" t="s">
        <v>18</v>
      </c>
      <c r="E545" t="s">
        <v>23</v>
      </c>
      <c r="F545" t="s">
        <v>20</v>
      </c>
      <c r="G545" s="1">
        <v>45703</v>
      </c>
      <c r="H545" s="1">
        <v>45706</v>
      </c>
      <c r="I545" s="1" t="str">
        <f>TEXT(Table1[[#This Row],[Admission Date]],"MMMM")</f>
        <v>February</v>
      </c>
      <c r="J545">
        <v>3</v>
      </c>
      <c r="K545">
        <v>33321</v>
      </c>
    </row>
    <row r="546" spans="1:11" x14ac:dyDescent="0.3">
      <c r="A546" t="s">
        <v>721</v>
      </c>
      <c r="B546" t="s">
        <v>208</v>
      </c>
      <c r="C546">
        <v>76</v>
      </c>
      <c r="D546" t="s">
        <v>13</v>
      </c>
      <c r="E546" t="s">
        <v>103</v>
      </c>
      <c r="F546" t="s">
        <v>28</v>
      </c>
      <c r="G546" s="1">
        <v>45751</v>
      </c>
      <c r="H546" s="1">
        <v>45758</v>
      </c>
      <c r="I546" s="1" t="str">
        <f>TEXT(Table1[[#This Row],[Admission Date]],"MMMM")</f>
        <v>April</v>
      </c>
      <c r="J546">
        <v>7</v>
      </c>
      <c r="K546">
        <v>51142</v>
      </c>
    </row>
    <row r="547" spans="1:11" x14ac:dyDescent="0.3">
      <c r="A547" t="s">
        <v>722</v>
      </c>
      <c r="B547" t="s">
        <v>683</v>
      </c>
      <c r="C547">
        <v>3</v>
      </c>
      <c r="D547" t="s">
        <v>13</v>
      </c>
      <c r="E547" t="s">
        <v>40</v>
      </c>
      <c r="F547" t="s">
        <v>63</v>
      </c>
      <c r="G547" s="1">
        <v>46006</v>
      </c>
      <c r="H547" s="1">
        <v>46008</v>
      </c>
      <c r="I547" s="1" t="str">
        <f>TEXT(Table1[[#This Row],[Admission Date]],"MMMM")</f>
        <v>December</v>
      </c>
      <c r="J547">
        <v>2</v>
      </c>
      <c r="K547">
        <v>18772</v>
      </c>
    </row>
    <row r="548" spans="1:11" x14ac:dyDescent="0.3">
      <c r="A548" t="s">
        <v>723</v>
      </c>
      <c r="B548" t="s">
        <v>218</v>
      </c>
      <c r="C548">
        <v>18</v>
      </c>
      <c r="D548" t="s">
        <v>13</v>
      </c>
      <c r="E548" t="s">
        <v>49</v>
      </c>
      <c r="F548" t="s">
        <v>20</v>
      </c>
      <c r="G548" s="1">
        <v>45804</v>
      </c>
      <c r="H548" s="1">
        <v>45814</v>
      </c>
      <c r="I548" s="1" t="str">
        <f>TEXT(Table1[[#This Row],[Admission Date]],"MMMM")</f>
        <v>May</v>
      </c>
      <c r="J548">
        <v>10</v>
      </c>
      <c r="K548">
        <v>97130</v>
      </c>
    </row>
    <row r="549" spans="1:11" x14ac:dyDescent="0.3">
      <c r="A549" t="s">
        <v>724</v>
      </c>
      <c r="B549" t="s">
        <v>412</v>
      </c>
      <c r="C549">
        <v>72</v>
      </c>
      <c r="D549" t="s">
        <v>18</v>
      </c>
      <c r="E549" t="s">
        <v>31</v>
      </c>
      <c r="F549" t="s">
        <v>24</v>
      </c>
      <c r="G549" s="1">
        <v>45793</v>
      </c>
      <c r="H549" s="1">
        <v>45797</v>
      </c>
      <c r="I549" s="1" t="str">
        <f>TEXT(Table1[[#This Row],[Admission Date]],"MMMM")</f>
        <v>May</v>
      </c>
      <c r="J549">
        <v>4</v>
      </c>
      <c r="K549">
        <v>29464</v>
      </c>
    </row>
    <row r="550" spans="1:11" x14ac:dyDescent="0.3">
      <c r="A550" t="s">
        <v>725</v>
      </c>
      <c r="B550" t="s">
        <v>246</v>
      </c>
      <c r="C550">
        <v>26</v>
      </c>
      <c r="D550" t="s">
        <v>13</v>
      </c>
      <c r="E550" t="s">
        <v>46</v>
      </c>
      <c r="F550" t="s">
        <v>63</v>
      </c>
      <c r="G550" s="1">
        <v>45684</v>
      </c>
      <c r="H550" s="1">
        <v>45689</v>
      </c>
      <c r="I550" s="1" t="str">
        <f>TEXT(Table1[[#This Row],[Admission Date]],"MMMM")</f>
        <v>January</v>
      </c>
      <c r="J550">
        <v>5</v>
      </c>
      <c r="K550">
        <v>41480</v>
      </c>
    </row>
    <row r="551" spans="1:11" x14ac:dyDescent="0.3">
      <c r="A551" t="s">
        <v>726</v>
      </c>
      <c r="B551" t="s">
        <v>149</v>
      </c>
      <c r="C551">
        <v>82</v>
      </c>
      <c r="D551" t="s">
        <v>18</v>
      </c>
      <c r="E551" t="s">
        <v>27</v>
      </c>
      <c r="F551" t="s">
        <v>24</v>
      </c>
      <c r="G551" s="1">
        <v>45806</v>
      </c>
      <c r="H551" s="1">
        <v>45811</v>
      </c>
      <c r="I551" s="1" t="str">
        <f>TEXT(Table1[[#This Row],[Admission Date]],"MMMM")</f>
        <v>May</v>
      </c>
      <c r="J551">
        <v>5</v>
      </c>
      <c r="K551">
        <v>38205</v>
      </c>
    </row>
    <row r="552" spans="1:11" x14ac:dyDescent="0.3">
      <c r="A552" t="s">
        <v>727</v>
      </c>
      <c r="B552" t="s">
        <v>472</v>
      </c>
      <c r="C552">
        <v>18</v>
      </c>
      <c r="D552" t="s">
        <v>18</v>
      </c>
      <c r="E552" t="s">
        <v>14</v>
      </c>
      <c r="F552" t="s">
        <v>20</v>
      </c>
      <c r="G552" s="1">
        <v>45756</v>
      </c>
      <c r="H552" s="1">
        <v>45762</v>
      </c>
      <c r="I552" s="1" t="str">
        <f>TEXT(Table1[[#This Row],[Admission Date]],"MMMM")</f>
        <v>April</v>
      </c>
      <c r="J552">
        <v>6</v>
      </c>
      <c r="K552">
        <v>69876</v>
      </c>
    </row>
    <row r="553" spans="1:11" x14ac:dyDescent="0.3">
      <c r="A553" t="s">
        <v>728</v>
      </c>
      <c r="B553" t="s">
        <v>367</v>
      </c>
      <c r="C553">
        <v>1</v>
      </c>
      <c r="D553" t="s">
        <v>13</v>
      </c>
      <c r="E553" t="s">
        <v>40</v>
      </c>
      <c r="F553" t="s">
        <v>63</v>
      </c>
      <c r="G553" s="1">
        <v>45762</v>
      </c>
      <c r="H553" s="1">
        <v>45774</v>
      </c>
      <c r="I553" s="1" t="str">
        <f>TEXT(Table1[[#This Row],[Admission Date]],"MMMM")</f>
        <v>April</v>
      </c>
      <c r="J553">
        <v>12</v>
      </c>
      <c r="K553">
        <v>128760</v>
      </c>
    </row>
    <row r="554" spans="1:11" x14ac:dyDescent="0.3">
      <c r="A554" t="s">
        <v>729</v>
      </c>
      <c r="B554" t="s">
        <v>462</v>
      </c>
      <c r="C554">
        <v>74</v>
      </c>
      <c r="D554" t="s">
        <v>13</v>
      </c>
      <c r="E554" t="s">
        <v>40</v>
      </c>
      <c r="F554" t="s">
        <v>28</v>
      </c>
      <c r="G554" s="1">
        <v>45754</v>
      </c>
      <c r="H554" s="1">
        <v>45767</v>
      </c>
      <c r="I554" s="1" t="str">
        <f>TEXT(Table1[[#This Row],[Admission Date]],"MMMM")</f>
        <v>April</v>
      </c>
      <c r="J554">
        <v>13</v>
      </c>
      <c r="K554">
        <v>63960</v>
      </c>
    </row>
    <row r="555" spans="1:11" x14ac:dyDescent="0.3">
      <c r="A555" t="s">
        <v>730</v>
      </c>
      <c r="B555" t="s">
        <v>304</v>
      </c>
      <c r="C555">
        <v>8</v>
      </c>
      <c r="D555" t="s">
        <v>13</v>
      </c>
      <c r="E555" t="s">
        <v>103</v>
      </c>
      <c r="F555" t="s">
        <v>24</v>
      </c>
      <c r="G555" s="1">
        <v>45693</v>
      </c>
      <c r="H555" s="1">
        <v>45702</v>
      </c>
      <c r="I555" s="1" t="str">
        <f>TEXT(Table1[[#This Row],[Admission Date]],"MMMM")</f>
        <v>February</v>
      </c>
      <c r="J555">
        <v>9</v>
      </c>
      <c r="K555">
        <v>94833</v>
      </c>
    </row>
    <row r="556" spans="1:11" x14ac:dyDescent="0.3">
      <c r="A556" t="s">
        <v>731</v>
      </c>
      <c r="B556" t="s">
        <v>627</v>
      </c>
      <c r="C556">
        <v>71</v>
      </c>
      <c r="D556" t="s">
        <v>18</v>
      </c>
      <c r="E556" t="s">
        <v>46</v>
      </c>
      <c r="F556" t="s">
        <v>60</v>
      </c>
      <c r="G556" s="1">
        <v>45779</v>
      </c>
      <c r="H556" s="1">
        <v>45785</v>
      </c>
      <c r="I556" s="1" t="str">
        <f>TEXT(Table1[[#This Row],[Admission Date]],"MMMM")</f>
        <v>May</v>
      </c>
      <c r="J556">
        <v>6</v>
      </c>
      <c r="K556">
        <v>35988</v>
      </c>
    </row>
    <row r="557" spans="1:11" x14ac:dyDescent="0.3">
      <c r="A557" t="s">
        <v>732</v>
      </c>
      <c r="B557" t="s">
        <v>172</v>
      </c>
      <c r="C557">
        <v>6</v>
      </c>
      <c r="D557" t="s">
        <v>18</v>
      </c>
      <c r="E557" t="s">
        <v>46</v>
      </c>
      <c r="F557" t="s">
        <v>63</v>
      </c>
      <c r="G557" s="1">
        <v>45684</v>
      </c>
      <c r="H557" s="1">
        <v>45685</v>
      </c>
      <c r="I557" s="1" t="str">
        <f>TEXT(Table1[[#This Row],[Admission Date]],"MMMM")</f>
        <v>January</v>
      </c>
      <c r="J557">
        <v>1</v>
      </c>
      <c r="K557">
        <v>11603</v>
      </c>
    </row>
    <row r="558" spans="1:11" x14ac:dyDescent="0.3">
      <c r="A558" t="s">
        <v>733</v>
      </c>
      <c r="B558" t="s">
        <v>551</v>
      </c>
      <c r="C558">
        <v>7</v>
      </c>
      <c r="D558" t="s">
        <v>18</v>
      </c>
      <c r="E558" t="s">
        <v>14</v>
      </c>
      <c r="F558" t="s">
        <v>63</v>
      </c>
      <c r="G558" s="1">
        <v>45923</v>
      </c>
      <c r="H558" s="1">
        <v>45935</v>
      </c>
      <c r="I558" s="1" t="str">
        <f>TEXT(Table1[[#This Row],[Admission Date]],"MMMM")</f>
        <v>September</v>
      </c>
      <c r="J558">
        <v>12</v>
      </c>
      <c r="K558">
        <v>56556</v>
      </c>
    </row>
    <row r="559" spans="1:11" x14ac:dyDescent="0.3">
      <c r="A559" t="s">
        <v>734</v>
      </c>
      <c r="B559" t="s">
        <v>55</v>
      </c>
      <c r="C559">
        <v>69</v>
      </c>
      <c r="D559" t="s">
        <v>13</v>
      </c>
      <c r="E559" t="s">
        <v>31</v>
      </c>
      <c r="F559" t="s">
        <v>60</v>
      </c>
      <c r="G559" s="1">
        <v>45662</v>
      </c>
      <c r="H559" s="1">
        <v>45672</v>
      </c>
      <c r="I559" s="1" t="str">
        <f>TEXT(Table1[[#This Row],[Admission Date]],"MMMM")</f>
        <v>January</v>
      </c>
      <c r="J559">
        <v>10</v>
      </c>
      <c r="K559">
        <v>107890</v>
      </c>
    </row>
    <row r="560" spans="1:11" x14ac:dyDescent="0.3">
      <c r="A560" t="s">
        <v>735</v>
      </c>
      <c r="B560" t="s">
        <v>186</v>
      </c>
      <c r="C560">
        <v>80</v>
      </c>
      <c r="D560" t="s">
        <v>18</v>
      </c>
      <c r="E560" t="s">
        <v>27</v>
      </c>
      <c r="F560" t="s">
        <v>43</v>
      </c>
      <c r="G560" s="1">
        <v>45948</v>
      </c>
      <c r="H560" s="1">
        <v>45962</v>
      </c>
      <c r="I560" s="1" t="str">
        <f>TEXT(Table1[[#This Row],[Admission Date]],"MMMM")</f>
        <v>October</v>
      </c>
      <c r="J560">
        <v>14</v>
      </c>
      <c r="K560">
        <v>70420</v>
      </c>
    </row>
    <row r="561" spans="1:11" x14ac:dyDescent="0.3">
      <c r="A561" t="s">
        <v>736</v>
      </c>
      <c r="B561" t="s">
        <v>62</v>
      </c>
      <c r="C561">
        <v>25</v>
      </c>
      <c r="D561" t="s">
        <v>13</v>
      </c>
      <c r="E561" t="s">
        <v>14</v>
      </c>
      <c r="F561" t="s">
        <v>20</v>
      </c>
      <c r="G561" s="1">
        <v>45800</v>
      </c>
      <c r="H561" s="1">
        <v>45802</v>
      </c>
      <c r="I561" s="1" t="str">
        <f>TEXT(Table1[[#This Row],[Admission Date]],"MMMM")</f>
        <v>May</v>
      </c>
      <c r="J561">
        <v>2</v>
      </c>
      <c r="K561">
        <v>19402</v>
      </c>
    </row>
    <row r="562" spans="1:11" x14ac:dyDescent="0.3">
      <c r="A562" t="s">
        <v>737</v>
      </c>
      <c r="B562" t="s">
        <v>12</v>
      </c>
      <c r="C562">
        <v>48</v>
      </c>
      <c r="D562" t="s">
        <v>18</v>
      </c>
      <c r="E562" t="s">
        <v>27</v>
      </c>
      <c r="F562" t="s">
        <v>35</v>
      </c>
      <c r="G562" s="1">
        <v>45857</v>
      </c>
      <c r="H562" s="1">
        <v>45862</v>
      </c>
      <c r="I562" s="1" t="str">
        <f>TEXT(Table1[[#This Row],[Admission Date]],"MMMM")</f>
        <v>July</v>
      </c>
      <c r="J562">
        <v>5</v>
      </c>
      <c r="K562">
        <v>33420</v>
      </c>
    </row>
    <row r="563" spans="1:11" x14ac:dyDescent="0.3">
      <c r="A563" t="s">
        <v>738</v>
      </c>
      <c r="B563" t="s">
        <v>135</v>
      </c>
      <c r="C563">
        <v>38</v>
      </c>
      <c r="D563" t="s">
        <v>13</v>
      </c>
      <c r="E563" t="s">
        <v>14</v>
      </c>
      <c r="F563" t="s">
        <v>60</v>
      </c>
      <c r="G563" s="1">
        <v>45861</v>
      </c>
      <c r="H563" s="1">
        <v>45870</v>
      </c>
      <c r="I563" s="1" t="str">
        <f>TEXT(Table1[[#This Row],[Admission Date]],"MMMM")</f>
        <v>July</v>
      </c>
      <c r="J563">
        <v>9</v>
      </c>
      <c r="K563">
        <v>77445</v>
      </c>
    </row>
    <row r="564" spans="1:11" x14ac:dyDescent="0.3">
      <c r="A564" t="s">
        <v>739</v>
      </c>
      <c r="B564" t="s">
        <v>62</v>
      </c>
      <c r="C564">
        <v>18</v>
      </c>
      <c r="D564" t="s">
        <v>13</v>
      </c>
      <c r="E564" t="s">
        <v>49</v>
      </c>
      <c r="F564" t="s">
        <v>63</v>
      </c>
      <c r="G564" s="1">
        <v>45864</v>
      </c>
      <c r="H564" s="1">
        <v>45870</v>
      </c>
      <c r="I564" s="1" t="str">
        <f>TEXT(Table1[[#This Row],[Admission Date]],"MMMM")</f>
        <v>July</v>
      </c>
      <c r="J564">
        <v>6</v>
      </c>
      <c r="K564">
        <v>26058</v>
      </c>
    </row>
    <row r="565" spans="1:11" x14ac:dyDescent="0.3">
      <c r="A565" t="s">
        <v>740</v>
      </c>
      <c r="B565" t="s">
        <v>140</v>
      </c>
      <c r="C565">
        <v>87</v>
      </c>
      <c r="D565" t="s">
        <v>13</v>
      </c>
      <c r="E565" t="s">
        <v>27</v>
      </c>
      <c r="F565" t="s">
        <v>35</v>
      </c>
      <c r="G565" s="1">
        <v>45730</v>
      </c>
      <c r="H565" s="1">
        <v>45736</v>
      </c>
      <c r="I565" s="1" t="str">
        <f>TEXT(Table1[[#This Row],[Admission Date]],"MMMM")</f>
        <v>March</v>
      </c>
      <c r="J565">
        <v>6</v>
      </c>
      <c r="K565">
        <v>50238</v>
      </c>
    </row>
    <row r="566" spans="1:11" x14ac:dyDescent="0.3">
      <c r="A566" t="s">
        <v>741</v>
      </c>
      <c r="B566" t="s">
        <v>97</v>
      </c>
      <c r="C566">
        <v>75</v>
      </c>
      <c r="D566" t="s">
        <v>18</v>
      </c>
      <c r="E566" t="s">
        <v>40</v>
      </c>
      <c r="F566" t="s">
        <v>35</v>
      </c>
      <c r="G566" s="1">
        <v>45723</v>
      </c>
      <c r="H566" s="1">
        <v>45734</v>
      </c>
      <c r="I566" s="1" t="str">
        <f>TEXT(Table1[[#This Row],[Admission Date]],"MMMM")</f>
        <v>March</v>
      </c>
      <c r="J566">
        <v>11</v>
      </c>
      <c r="K566">
        <v>68046</v>
      </c>
    </row>
    <row r="567" spans="1:11" x14ac:dyDescent="0.3">
      <c r="A567" t="s">
        <v>742</v>
      </c>
      <c r="B567" t="s">
        <v>159</v>
      </c>
      <c r="C567">
        <v>82</v>
      </c>
      <c r="D567" t="s">
        <v>13</v>
      </c>
      <c r="E567" t="s">
        <v>27</v>
      </c>
      <c r="F567" t="s">
        <v>20</v>
      </c>
      <c r="G567" s="1">
        <v>46020</v>
      </c>
      <c r="H567" s="1">
        <v>46024</v>
      </c>
      <c r="I567" s="1" t="str">
        <f>TEXT(Table1[[#This Row],[Admission Date]],"MMMM")</f>
        <v>December</v>
      </c>
      <c r="J567">
        <v>4</v>
      </c>
      <c r="K567">
        <v>35052</v>
      </c>
    </row>
    <row r="568" spans="1:11" x14ac:dyDescent="0.3">
      <c r="A568" t="s">
        <v>743</v>
      </c>
      <c r="B568" t="s">
        <v>179</v>
      </c>
      <c r="C568">
        <v>29</v>
      </c>
      <c r="D568" t="s">
        <v>18</v>
      </c>
      <c r="E568" t="s">
        <v>40</v>
      </c>
      <c r="F568" t="s">
        <v>28</v>
      </c>
      <c r="G568" s="1">
        <v>45885</v>
      </c>
      <c r="H568" s="1">
        <v>45896</v>
      </c>
      <c r="I568" s="1" t="str">
        <f>TEXT(Table1[[#This Row],[Admission Date]],"MMMM")</f>
        <v>August</v>
      </c>
      <c r="J568">
        <v>11</v>
      </c>
      <c r="K568">
        <v>104500</v>
      </c>
    </row>
    <row r="569" spans="1:11" x14ac:dyDescent="0.3">
      <c r="A569" t="s">
        <v>744</v>
      </c>
      <c r="B569" t="s">
        <v>427</v>
      </c>
      <c r="C569">
        <v>27</v>
      </c>
      <c r="D569" t="s">
        <v>13</v>
      </c>
      <c r="E569" t="s">
        <v>40</v>
      </c>
      <c r="F569" t="s">
        <v>24</v>
      </c>
      <c r="G569" s="1">
        <v>45920</v>
      </c>
      <c r="H569" s="1">
        <v>45933</v>
      </c>
      <c r="I569" s="1" t="str">
        <f>TEXT(Table1[[#This Row],[Admission Date]],"MMMM")</f>
        <v>September</v>
      </c>
      <c r="J569">
        <v>13</v>
      </c>
      <c r="K569">
        <v>69940</v>
      </c>
    </row>
    <row r="570" spans="1:11" x14ac:dyDescent="0.3">
      <c r="A570" t="s">
        <v>745</v>
      </c>
      <c r="B570" t="s">
        <v>657</v>
      </c>
      <c r="C570">
        <v>57</v>
      </c>
      <c r="D570" t="s">
        <v>18</v>
      </c>
      <c r="E570" t="s">
        <v>40</v>
      </c>
      <c r="F570" t="s">
        <v>24</v>
      </c>
      <c r="G570" s="1">
        <v>45805</v>
      </c>
      <c r="H570" s="1">
        <v>45812</v>
      </c>
      <c r="I570" s="1" t="str">
        <f>TEXT(Table1[[#This Row],[Admission Date]],"MMMM")</f>
        <v>May</v>
      </c>
      <c r="J570">
        <v>7</v>
      </c>
      <c r="K570">
        <v>53011</v>
      </c>
    </row>
    <row r="571" spans="1:11" x14ac:dyDescent="0.3">
      <c r="A571" t="s">
        <v>746</v>
      </c>
      <c r="B571" t="s">
        <v>468</v>
      </c>
      <c r="C571">
        <v>64</v>
      </c>
      <c r="D571" t="s">
        <v>18</v>
      </c>
      <c r="E571" t="s">
        <v>40</v>
      </c>
      <c r="F571" t="s">
        <v>24</v>
      </c>
      <c r="G571" s="1">
        <v>45854</v>
      </c>
      <c r="H571" s="1">
        <v>45857</v>
      </c>
      <c r="I571" s="1" t="str">
        <f>TEXT(Table1[[#This Row],[Admission Date]],"MMMM")</f>
        <v>July</v>
      </c>
      <c r="J571">
        <v>3</v>
      </c>
      <c r="K571">
        <v>32493</v>
      </c>
    </row>
    <row r="572" spans="1:11" x14ac:dyDescent="0.3">
      <c r="A572" t="s">
        <v>747</v>
      </c>
      <c r="B572" t="s">
        <v>62</v>
      </c>
      <c r="C572">
        <v>63</v>
      </c>
      <c r="D572" t="s">
        <v>13</v>
      </c>
      <c r="E572" t="s">
        <v>34</v>
      </c>
      <c r="F572" t="s">
        <v>28</v>
      </c>
      <c r="G572" s="1">
        <v>45800</v>
      </c>
      <c r="H572" s="1">
        <v>45802</v>
      </c>
      <c r="I572" s="1" t="str">
        <f>TEXT(Table1[[#This Row],[Admission Date]],"MMMM")</f>
        <v>May</v>
      </c>
      <c r="J572">
        <v>2</v>
      </c>
      <c r="K572">
        <v>23140</v>
      </c>
    </row>
    <row r="573" spans="1:11" x14ac:dyDescent="0.3">
      <c r="A573" t="s">
        <v>748</v>
      </c>
      <c r="B573" t="s">
        <v>398</v>
      </c>
      <c r="C573">
        <v>27</v>
      </c>
      <c r="D573" t="s">
        <v>13</v>
      </c>
      <c r="E573" t="s">
        <v>14</v>
      </c>
      <c r="F573" t="s">
        <v>24</v>
      </c>
      <c r="G573" s="1">
        <v>45838</v>
      </c>
      <c r="H573" s="1">
        <v>45852</v>
      </c>
      <c r="I573" s="1" t="str">
        <f>TEXT(Table1[[#This Row],[Admission Date]],"MMMM")</f>
        <v>June</v>
      </c>
      <c r="J573">
        <v>14</v>
      </c>
      <c r="K573">
        <v>105392</v>
      </c>
    </row>
    <row r="574" spans="1:11" x14ac:dyDescent="0.3">
      <c r="A574" t="s">
        <v>749</v>
      </c>
      <c r="B574" t="s">
        <v>456</v>
      </c>
      <c r="C574">
        <v>19</v>
      </c>
      <c r="D574" t="s">
        <v>13</v>
      </c>
      <c r="E574" t="s">
        <v>31</v>
      </c>
      <c r="F574" t="s">
        <v>28</v>
      </c>
      <c r="G574" s="1">
        <v>45975</v>
      </c>
      <c r="H574" s="1">
        <v>45976</v>
      </c>
      <c r="I574" s="1" t="str">
        <f>TEXT(Table1[[#This Row],[Admission Date]],"MMMM")</f>
        <v>November</v>
      </c>
      <c r="J574">
        <v>1</v>
      </c>
      <c r="K574">
        <v>8623</v>
      </c>
    </row>
    <row r="575" spans="1:11" x14ac:dyDescent="0.3">
      <c r="A575" t="s">
        <v>750</v>
      </c>
      <c r="B575" t="s">
        <v>378</v>
      </c>
      <c r="C575">
        <v>13</v>
      </c>
      <c r="D575" t="s">
        <v>18</v>
      </c>
      <c r="E575" t="s">
        <v>31</v>
      </c>
      <c r="F575" t="s">
        <v>15</v>
      </c>
      <c r="G575" s="1">
        <v>45972</v>
      </c>
      <c r="H575" s="1">
        <v>45980</v>
      </c>
      <c r="I575" s="1" t="str">
        <f>TEXT(Table1[[#This Row],[Admission Date]],"MMMM")</f>
        <v>November</v>
      </c>
      <c r="J575">
        <v>8</v>
      </c>
      <c r="K575">
        <v>43256</v>
      </c>
    </row>
    <row r="576" spans="1:11" x14ac:dyDescent="0.3">
      <c r="A576" t="s">
        <v>751</v>
      </c>
      <c r="B576" t="s">
        <v>342</v>
      </c>
      <c r="C576">
        <v>23</v>
      </c>
      <c r="D576" t="s">
        <v>18</v>
      </c>
      <c r="E576" t="s">
        <v>40</v>
      </c>
      <c r="F576" t="s">
        <v>24</v>
      </c>
      <c r="G576" s="1">
        <v>45755</v>
      </c>
      <c r="H576" s="1">
        <v>45767</v>
      </c>
      <c r="I576" s="1" t="str">
        <f>TEXT(Table1[[#This Row],[Admission Date]],"MMMM")</f>
        <v>April</v>
      </c>
      <c r="J576">
        <v>12</v>
      </c>
      <c r="K576">
        <v>68928</v>
      </c>
    </row>
    <row r="577" spans="1:11" x14ac:dyDescent="0.3">
      <c r="A577" t="s">
        <v>752</v>
      </c>
      <c r="B577" t="s">
        <v>485</v>
      </c>
      <c r="C577">
        <v>43</v>
      </c>
      <c r="D577" t="s">
        <v>18</v>
      </c>
      <c r="E577" t="s">
        <v>14</v>
      </c>
      <c r="F577" t="s">
        <v>15</v>
      </c>
      <c r="G577" s="1">
        <v>45721</v>
      </c>
      <c r="H577" s="1">
        <v>45729</v>
      </c>
      <c r="I577" s="1" t="str">
        <f>TEXT(Table1[[#This Row],[Admission Date]],"MMMM")</f>
        <v>March</v>
      </c>
      <c r="J577">
        <v>8</v>
      </c>
      <c r="K577">
        <v>94072</v>
      </c>
    </row>
    <row r="578" spans="1:11" x14ac:dyDescent="0.3">
      <c r="A578" t="s">
        <v>753</v>
      </c>
      <c r="B578" t="s">
        <v>683</v>
      </c>
      <c r="C578">
        <v>65</v>
      </c>
      <c r="D578" t="s">
        <v>18</v>
      </c>
      <c r="E578" t="s">
        <v>23</v>
      </c>
      <c r="F578" t="s">
        <v>43</v>
      </c>
      <c r="G578" s="1">
        <v>46012</v>
      </c>
      <c r="H578" s="1">
        <v>46019</v>
      </c>
      <c r="I578" s="1" t="str">
        <f>TEXT(Table1[[#This Row],[Admission Date]],"MMMM")</f>
        <v>December</v>
      </c>
      <c r="J578">
        <v>7</v>
      </c>
      <c r="K578">
        <v>68271</v>
      </c>
    </row>
    <row r="579" spans="1:11" x14ac:dyDescent="0.3">
      <c r="A579" t="s">
        <v>754</v>
      </c>
      <c r="B579" t="s">
        <v>307</v>
      </c>
      <c r="C579">
        <v>82</v>
      </c>
      <c r="D579" t="s">
        <v>13</v>
      </c>
      <c r="E579" t="s">
        <v>40</v>
      </c>
      <c r="F579" t="s">
        <v>28</v>
      </c>
      <c r="G579" s="1">
        <v>45982</v>
      </c>
      <c r="H579" s="1">
        <v>45993</v>
      </c>
      <c r="I579" s="1" t="str">
        <f>TEXT(Table1[[#This Row],[Admission Date]],"MMMM")</f>
        <v>November</v>
      </c>
      <c r="J579">
        <v>11</v>
      </c>
      <c r="K579">
        <v>103917</v>
      </c>
    </row>
    <row r="580" spans="1:11" x14ac:dyDescent="0.3">
      <c r="A580" t="s">
        <v>755</v>
      </c>
      <c r="B580" t="s">
        <v>165</v>
      </c>
      <c r="C580">
        <v>8</v>
      </c>
      <c r="D580" t="s">
        <v>13</v>
      </c>
      <c r="E580" t="s">
        <v>31</v>
      </c>
      <c r="F580" t="s">
        <v>20</v>
      </c>
      <c r="G580" s="1">
        <v>45826</v>
      </c>
      <c r="H580" s="1">
        <v>45839</v>
      </c>
      <c r="I580" s="1" t="str">
        <f>TEXT(Table1[[#This Row],[Admission Date]],"MMMM")</f>
        <v>June</v>
      </c>
      <c r="J580">
        <v>13</v>
      </c>
      <c r="K580">
        <v>87295</v>
      </c>
    </row>
    <row r="581" spans="1:11" x14ac:dyDescent="0.3">
      <c r="A581" t="s">
        <v>756</v>
      </c>
      <c r="B581" t="s">
        <v>580</v>
      </c>
      <c r="C581">
        <v>65</v>
      </c>
      <c r="D581" t="s">
        <v>13</v>
      </c>
      <c r="E581" t="s">
        <v>103</v>
      </c>
      <c r="F581" t="s">
        <v>28</v>
      </c>
      <c r="G581" s="1">
        <v>45871</v>
      </c>
      <c r="H581" s="1">
        <v>45881</v>
      </c>
      <c r="I581" s="1" t="str">
        <f>TEXT(Table1[[#This Row],[Admission Date]],"MMMM")</f>
        <v>August</v>
      </c>
      <c r="J581">
        <v>10</v>
      </c>
      <c r="K581">
        <v>56800</v>
      </c>
    </row>
    <row r="582" spans="1:11" x14ac:dyDescent="0.3">
      <c r="A582" t="s">
        <v>757</v>
      </c>
      <c r="B582" t="s">
        <v>627</v>
      </c>
      <c r="C582">
        <v>58</v>
      </c>
      <c r="D582" t="s">
        <v>13</v>
      </c>
      <c r="E582" t="s">
        <v>46</v>
      </c>
      <c r="F582" t="s">
        <v>43</v>
      </c>
      <c r="G582" s="1">
        <v>45826</v>
      </c>
      <c r="H582" s="1">
        <v>45841</v>
      </c>
      <c r="I582" s="1" t="str">
        <f>TEXT(Table1[[#This Row],[Admission Date]],"MMMM")</f>
        <v>June</v>
      </c>
      <c r="J582">
        <v>15</v>
      </c>
      <c r="K582">
        <v>86625</v>
      </c>
    </row>
    <row r="583" spans="1:11" x14ac:dyDescent="0.3">
      <c r="A583" t="s">
        <v>758</v>
      </c>
      <c r="B583" t="s">
        <v>713</v>
      </c>
      <c r="C583">
        <v>65</v>
      </c>
      <c r="D583" t="s">
        <v>18</v>
      </c>
      <c r="E583" t="s">
        <v>27</v>
      </c>
      <c r="F583" t="s">
        <v>24</v>
      </c>
      <c r="G583" s="1">
        <v>45713</v>
      </c>
      <c r="H583" s="1">
        <v>45721</v>
      </c>
      <c r="I583" s="1" t="str">
        <f>TEXT(Table1[[#This Row],[Admission Date]],"MMMM")</f>
        <v>February</v>
      </c>
      <c r="J583">
        <v>8</v>
      </c>
      <c r="K583">
        <v>93264</v>
      </c>
    </row>
    <row r="584" spans="1:11" x14ac:dyDescent="0.3">
      <c r="A584" t="s">
        <v>759</v>
      </c>
      <c r="B584" t="s">
        <v>760</v>
      </c>
      <c r="C584">
        <v>70</v>
      </c>
      <c r="D584" t="s">
        <v>13</v>
      </c>
      <c r="E584" t="s">
        <v>40</v>
      </c>
      <c r="F584" t="s">
        <v>20</v>
      </c>
      <c r="G584" s="1">
        <v>45818</v>
      </c>
      <c r="H584" s="1">
        <v>45827</v>
      </c>
      <c r="I584" s="1" t="str">
        <f>TEXT(Table1[[#This Row],[Admission Date]],"MMMM")</f>
        <v>June</v>
      </c>
      <c r="J584">
        <v>9</v>
      </c>
      <c r="K584">
        <v>44496</v>
      </c>
    </row>
    <row r="585" spans="1:11" x14ac:dyDescent="0.3">
      <c r="A585" t="s">
        <v>761</v>
      </c>
      <c r="B585" t="s">
        <v>85</v>
      </c>
      <c r="C585">
        <v>70</v>
      </c>
      <c r="D585" t="s">
        <v>13</v>
      </c>
      <c r="E585" t="s">
        <v>31</v>
      </c>
      <c r="F585" t="s">
        <v>35</v>
      </c>
      <c r="G585" s="1">
        <v>45752</v>
      </c>
      <c r="H585" s="1">
        <v>45763</v>
      </c>
      <c r="I585" s="1" t="str">
        <f>TEXT(Table1[[#This Row],[Admission Date]],"MMMM")</f>
        <v>April</v>
      </c>
      <c r="J585">
        <v>11</v>
      </c>
      <c r="K585">
        <v>46156</v>
      </c>
    </row>
    <row r="586" spans="1:11" x14ac:dyDescent="0.3">
      <c r="A586" t="s">
        <v>762</v>
      </c>
      <c r="B586" t="s">
        <v>133</v>
      </c>
      <c r="C586">
        <v>28</v>
      </c>
      <c r="D586" t="s">
        <v>18</v>
      </c>
      <c r="E586" t="s">
        <v>46</v>
      </c>
      <c r="F586" t="s">
        <v>35</v>
      </c>
      <c r="G586" s="1">
        <v>45955</v>
      </c>
      <c r="H586" s="1">
        <v>45958</v>
      </c>
      <c r="I586" s="1" t="str">
        <f>TEXT(Table1[[#This Row],[Admission Date]],"MMMM")</f>
        <v>October</v>
      </c>
      <c r="J586">
        <v>3</v>
      </c>
      <c r="K586">
        <v>31863</v>
      </c>
    </row>
    <row r="587" spans="1:11" x14ac:dyDescent="0.3">
      <c r="A587" t="s">
        <v>763</v>
      </c>
      <c r="B587" t="s">
        <v>117</v>
      </c>
      <c r="C587">
        <v>89</v>
      </c>
      <c r="D587" t="s">
        <v>13</v>
      </c>
      <c r="E587" t="s">
        <v>19</v>
      </c>
      <c r="F587" t="s">
        <v>63</v>
      </c>
      <c r="G587" s="1">
        <v>45928</v>
      </c>
      <c r="H587" s="1">
        <v>45937</v>
      </c>
      <c r="I587" s="1" t="str">
        <f>TEXT(Table1[[#This Row],[Admission Date]],"MMMM")</f>
        <v>September</v>
      </c>
      <c r="J587">
        <v>9</v>
      </c>
      <c r="K587">
        <v>85428</v>
      </c>
    </row>
    <row r="588" spans="1:11" x14ac:dyDescent="0.3">
      <c r="A588" t="s">
        <v>764</v>
      </c>
      <c r="B588" t="s">
        <v>367</v>
      </c>
      <c r="C588">
        <v>46</v>
      </c>
      <c r="D588" t="s">
        <v>13</v>
      </c>
      <c r="E588" t="s">
        <v>34</v>
      </c>
      <c r="F588" t="s">
        <v>15</v>
      </c>
      <c r="G588" s="1">
        <v>45938</v>
      </c>
      <c r="H588" s="1">
        <v>45949</v>
      </c>
      <c r="I588" s="1" t="str">
        <f>TEXT(Table1[[#This Row],[Admission Date]],"MMMM")</f>
        <v>October</v>
      </c>
      <c r="J588">
        <v>11</v>
      </c>
      <c r="K588">
        <v>106447</v>
      </c>
    </row>
    <row r="589" spans="1:11" x14ac:dyDescent="0.3">
      <c r="A589" t="s">
        <v>765</v>
      </c>
      <c r="B589" t="s">
        <v>17</v>
      </c>
      <c r="C589">
        <v>84</v>
      </c>
      <c r="D589" t="s">
        <v>13</v>
      </c>
      <c r="E589" t="s">
        <v>103</v>
      </c>
      <c r="F589" t="s">
        <v>20</v>
      </c>
      <c r="G589" s="1">
        <v>45992</v>
      </c>
      <c r="H589" s="1">
        <v>45994</v>
      </c>
      <c r="I589" s="1" t="str">
        <f>TEXT(Table1[[#This Row],[Admission Date]],"MMMM")</f>
        <v>December</v>
      </c>
      <c r="J589">
        <v>2</v>
      </c>
      <c r="K589">
        <v>22990</v>
      </c>
    </row>
    <row r="590" spans="1:11" x14ac:dyDescent="0.3">
      <c r="A590" t="s">
        <v>766</v>
      </c>
      <c r="B590" t="s">
        <v>204</v>
      </c>
      <c r="C590">
        <v>83</v>
      </c>
      <c r="D590" t="s">
        <v>18</v>
      </c>
      <c r="E590" t="s">
        <v>23</v>
      </c>
      <c r="F590" t="s">
        <v>43</v>
      </c>
      <c r="G590" s="1">
        <v>45906</v>
      </c>
      <c r="H590" s="1">
        <v>45916</v>
      </c>
      <c r="I590" s="1" t="str">
        <f>TEXT(Table1[[#This Row],[Admission Date]],"MMMM")</f>
        <v>September</v>
      </c>
      <c r="J590">
        <v>10</v>
      </c>
      <c r="K590">
        <v>117330</v>
      </c>
    </row>
    <row r="591" spans="1:11" x14ac:dyDescent="0.3">
      <c r="A591" t="s">
        <v>767</v>
      </c>
      <c r="B591" t="s">
        <v>331</v>
      </c>
      <c r="C591">
        <v>20</v>
      </c>
      <c r="D591" t="s">
        <v>18</v>
      </c>
      <c r="E591" t="s">
        <v>23</v>
      </c>
      <c r="F591" t="s">
        <v>60</v>
      </c>
      <c r="G591" s="1">
        <v>45992</v>
      </c>
      <c r="H591" s="1">
        <v>46005</v>
      </c>
      <c r="I591" s="1" t="str">
        <f>TEXT(Table1[[#This Row],[Admission Date]],"MMMM")</f>
        <v>December</v>
      </c>
      <c r="J591">
        <v>13</v>
      </c>
      <c r="K591">
        <v>148655</v>
      </c>
    </row>
    <row r="592" spans="1:11" x14ac:dyDescent="0.3">
      <c r="A592" t="s">
        <v>768</v>
      </c>
      <c r="B592" t="s">
        <v>51</v>
      </c>
      <c r="C592">
        <v>69</v>
      </c>
      <c r="D592" t="s">
        <v>18</v>
      </c>
      <c r="E592" t="s">
        <v>14</v>
      </c>
      <c r="F592" t="s">
        <v>35</v>
      </c>
      <c r="G592" s="1">
        <v>45777</v>
      </c>
      <c r="H592" s="1">
        <v>45780</v>
      </c>
      <c r="I592" s="1" t="str">
        <f>TEXT(Table1[[#This Row],[Admission Date]],"MMMM")</f>
        <v>April</v>
      </c>
      <c r="J592">
        <v>3</v>
      </c>
      <c r="K592">
        <v>26247</v>
      </c>
    </row>
    <row r="593" spans="1:11" x14ac:dyDescent="0.3">
      <c r="A593" t="s">
        <v>769</v>
      </c>
      <c r="B593" t="s">
        <v>276</v>
      </c>
      <c r="C593">
        <v>86</v>
      </c>
      <c r="D593" t="s">
        <v>18</v>
      </c>
      <c r="E593" t="s">
        <v>27</v>
      </c>
      <c r="F593" t="s">
        <v>35</v>
      </c>
      <c r="G593" s="1">
        <v>45843</v>
      </c>
      <c r="H593" s="1">
        <v>45853</v>
      </c>
      <c r="I593" s="1" t="str">
        <f>TEXT(Table1[[#This Row],[Admission Date]],"MMMM")</f>
        <v>July</v>
      </c>
      <c r="J593">
        <v>10</v>
      </c>
      <c r="K593">
        <v>50100</v>
      </c>
    </row>
    <row r="594" spans="1:11" x14ac:dyDescent="0.3">
      <c r="A594" t="s">
        <v>770</v>
      </c>
      <c r="B594" t="s">
        <v>115</v>
      </c>
      <c r="C594">
        <v>84</v>
      </c>
      <c r="D594" t="s">
        <v>13</v>
      </c>
      <c r="E594" t="s">
        <v>27</v>
      </c>
      <c r="F594" t="s">
        <v>15</v>
      </c>
      <c r="G594" s="1">
        <v>45926</v>
      </c>
      <c r="H594" s="1">
        <v>45936</v>
      </c>
      <c r="I594" s="1" t="str">
        <f>TEXT(Table1[[#This Row],[Admission Date]],"MMMM")</f>
        <v>September</v>
      </c>
      <c r="J594">
        <v>10</v>
      </c>
      <c r="K594">
        <v>66970</v>
      </c>
    </row>
    <row r="595" spans="1:11" x14ac:dyDescent="0.3">
      <c r="A595" t="s">
        <v>771</v>
      </c>
      <c r="B595" t="s">
        <v>65</v>
      </c>
      <c r="C595">
        <v>84</v>
      </c>
      <c r="D595" t="s">
        <v>13</v>
      </c>
      <c r="E595" t="s">
        <v>14</v>
      </c>
      <c r="F595" t="s">
        <v>24</v>
      </c>
      <c r="G595" s="1">
        <v>45812</v>
      </c>
      <c r="H595" s="1">
        <v>45816</v>
      </c>
      <c r="I595" s="1" t="str">
        <f>TEXT(Table1[[#This Row],[Admission Date]],"MMMM")</f>
        <v>June</v>
      </c>
      <c r="J595">
        <v>4</v>
      </c>
      <c r="K595">
        <v>43984</v>
      </c>
    </row>
    <row r="596" spans="1:11" x14ac:dyDescent="0.3">
      <c r="A596" t="s">
        <v>772</v>
      </c>
      <c r="B596" t="s">
        <v>22</v>
      </c>
      <c r="C596">
        <v>26</v>
      </c>
      <c r="D596" t="s">
        <v>18</v>
      </c>
      <c r="E596" t="s">
        <v>49</v>
      </c>
      <c r="F596" t="s">
        <v>15</v>
      </c>
      <c r="G596" s="1">
        <v>45772</v>
      </c>
      <c r="H596" s="1">
        <v>45781</v>
      </c>
      <c r="I596" s="1" t="str">
        <f>TEXT(Table1[[#This Row],[Admission Date]],"MMMM")</f>
        <v>April</v>
      </c>
      <c r="J596">
        <v>9</v>
      </c>
      <c r="K596">
        <v>80982</v>
      </c>
    </row>
    <row r="597" spans="1:11" x14ac:dyDescent="0.3">
      <c r="A597" t="s">
        <v>773</v>
      </c>
      <c r="B597" t="s">
        <v>101</v>
      </c>
      <c r="C597">
        <v>70</v>
      </c>
      <c r="D597" t="s">
        <v>18</v>
      </c>
      <c r="E597" t="s">
        <v>27</v>
      </c>
      <c r="F597" t="s">
        <v>20</v>
      </c>
      <c r="G597" s="1">
        <v>45919</v>
      </c>
      <c r="H597" s="1">
        <v>45929</v>
      </c>
      <c r="I597" s="1" t="str">
        <f>TEXT(Table1[[#This Row],[Admission Date]],"MMMM")</f>
        <v>September</v>
      </c>
      <c r="J597">
        <v>10</v>
      </c>
      <c r="K597">
        <v>89190</v>
      </c>
    </row>
    <row r="598" spans="1:11" x14ac:dyDescent="0.3">
      <c r="A598" t="s">
        <v>774</v>
      </c>
      <c r="B598" t="s">
        <v>179</v>
      </c>
      <c r="C598">
        <v>36</v>
      </c>
      <c r="D598" t="s">
        <v>13</v>
      </c>
      <c r="E598" t="s">
        <v>14</v>
      </c>
      <c r="F598" t="s">
        <v>60</v>
      </c>
      <c r="G598" s="1">
        <v>45885</v>
      </c>
      <c r="H598" s="1">
        <v>45898</v>
      </c>
      <c r="I598" s="1" t="str">
        <f>TEXT(Table1[[#This Row],[Admission Date]],"MMMM")</f>
        <v>August</v>
      </c>
      <c r="J598">
        <v>13</v>
      </c>
      <c r="K598">
        <v>133419</v>
      </c>
    </row>
    <row r="599" spans="1:11" x14ac:dyDescent="0.3">
      <c r="A599" t="s">
        <v>775</v>
      </c>
      <c r="B599" t="s">
        <v>92</v>
      </c>
      <c r="C599">
        <v>69</v>
      </c>
      <c r="D599" t="s">
        <v>13</v>
      </c>
      <c r="E599" t="s">
        <v>14</v>
      </c>
      <c r="F599" t="s">
        <v>15</v>
      </c>
      <c r="G599" s="1">
        <v>45821</v>
      </c>
      <c r="H599" s="1">
        <v>45823</v>
      </c>
      <c r="I599" s="1" t="str">
        <f>TEXT(Table1[[#This Row],[Admission Date]],"MMMM")</f>
        <v>June</v>
      </c>
      <c r="J599">
        <v>2</v>
      </c>
      <c r="K599">
        <v>13730</v>
      </c>
    </row>
    <row r="600" spans="1:11" x14ac:dyDescent="0.3">
      <c r="A600" t="s">
        <v>776</v>
      </c>
      <c r="B600" t="s">
        <v>119</v>
      </c>
      <c r="C600">
        <v>15</v>
      </c>
      <c r="D600" t="s">
        <v>18</v>
      </c>
      <c r="E600" t="s">
        <v>27</v>
      </c>
      <c r="F600" t="s">
        <v>60</v>
      </c>
      <c r="G600" s="1">
        <v>45972</v>
      </c>
      <c r="H600" s="1">
        <v>45987</v>
      </c>
      <c r="I600" s="1" t="str">
        <f>TEXT(Table1[[#This Row],[Admission Date]],"MMMM")</f>
        <v>November</v>
      </c>
      <c r="J600">
        <v>15</v>
      </c>
      <c r="K600">
        <v>93120</v>
      </c>
    </row>
    <row r="601" spans="1:11" x14ac:dyDescent="0.3">
      <c r="A601" t="s">
        <v>777</v>
      </c>
      <c r="B601" t="s">
        <v>45</v>
      </c>
      <c r="C601">
        <v>11</v>
      </c>
      <c r="D601" t="s">
        <v>18</v>
      </c>
      <c r="E601" t="s">
        <v>14</v>
      </c>
      <c r="F601" t="s">
        <v>60</v>
      </c>
      <c r="G601" s="1">
        <v>45728</v>
      </c>
      <c r="H601" s="1">
        <v>45735</v>
      </c>
      <c r="I601" s="1" t="str">
        <f>TEXT(Table1[[#This Row],[Admission Date]],"MMMM")</f>
        <v>March</v>
      </c>
      <c r="J601">
        <v>7</v>
      </c>
      <c r="K601">
        <v>33054</v>
      </c>
    </row>
    <row r="602" spans="1:11" x14ac:dyDescent="0.3">
      <c r="A602" t="s">
        <v>778</v>
      </c>
      <c r="B602" t="s">
        <v>446</v>
      </c>
      <c r="C602">
        <v>10</v>
      </c>
      <c r="D602" t="s">
        <v>13</v>
      </c>
      <c r="E602" t="s">
        <v>14</v>
      </c>
      <c r="F602" t="s">
        <v>24</v>
      </c>
      <c r="G602" s="1">
        <v>46009</v>
      </c>
      <c r="H602" s="1">
        <v>46017</v>
      </c>
      <c r="I602" s="1" t="str">
        <f>TEXT(Table1[[#This Row],[Admission Date]],"MMMM")</f>
        <v>December</v>
      </c>
      <c r="J602">
        <v>8</v>
      </c>
      <c r="K602">
        <v>92288</v>
      </c>
    </row>
    <row r="603" spans="1:11" x14ac:dyDescent="0.3">
      <c r="A603" t="s">
        <v>779</v>
      </c>
      <c r="B603" t="s">
        <v>17</v>
      </c>
      <c r="C603">
        <v>65</v>
      </c>
      <c r="D603" t="s">
        <v>18</v>
      </c>
      <c r="E603" t="s">
        <v>46</v>
      </c>
      <c r="F603" t="s">
        <v>28</v>
      </c>
      <c r="G603" s="1">
        <v>45934</v>
      </c>
      <c r="H603" s="1">
        <v>45936</v>
      </c>
      <c r="I603" s="1" t="str">
        <f>TEXT(Table1[[#This Row],[Admission Date]],"MMMM")</f>
        <v>October</v>
      </c>
      <c r="J603">
        <v>2</v>
      </c>
      <c r="K603">
        <v>11510</v>
      </c>
    </row>
    <row r="604" spans="1:11" x14ac:dyDescent="0.3">
      <c r="A604" t="s">
        <v>780</v>
      </c>
      <c r="B604" t="s">
        <v>298</v>
      </c>
      <c r="C604">
        <v>59</v>
      </c>
      <c r="D604" t="s">
        <v>13</v>
      </c>
      <c r="E604" t="s">
        <v>103</v>
      </c>
      <c r="F604" t="s">
        <v>35</v>
      </c>
      <c r="G604" s="1">
        <v>45726</v>
      </c>
      <c r="H604" s="1">
        <v>45739</v>
      </c>
      <c r="I604" s="1" t="str">
        <f>TEXT(Table1[[#This Row],[Admission Date]],"MMMM")</f>
        <v>March</v>
      </c>
      <c r="J604">
        <v>13</v>
      </c>
      <c r="K604">
        <v>144092</v>
      </c>
    </row>
    <row r="605" spans="1:11" x14ac:dyDescent="0.3">
      <c r="A605" t="s">
        <v>781</v>
      </c>
      <c r="B605" t="s">
        <v>94</v>
      </c>
      <c r="C605">
        <v>47</v>
      </c>
      <c r="D605" t="s">
        <v>13</v>
      </c>
      <c r="E605" t="s">
        <v>23</v>
      </c>
      <c r="F605" t="s">
        <v>28</v>
      </c>
      <c r="G605" s="1">
        <v>45928</v>
      </c>
      <c r="H605" s="1">
        <v>45933</v>
      </c>
      <c r="I605" s="1" t="str">
        <f>TEXT(Table1[[#This Row],[Admission Date]],"MMMM")</f>
        <v>September</v>
      </c>
      <c r="J605">
        <v>5</v>
      </c>
      <c r="K605">
        <v>58525</v>
      </c>
    </row>
    <row r="606" spans="1:11" x14ac:dyDescent="0.3">
      <c r="A606" t="s">
        <v>782</v>
      </c>
      <c r="B606" t="s">
        <v>115</v>
      </c>
      <c r="C606">
        <v>86</v>
      </c>
      <c r="D606" t="s">
        <v>13</v>
      </c>
      <c r="E606" t="s">
        <v>34</v>
      </c>
      <c r="F606" t="s">
        <v>35</v>
      </c>
      <c r="G606" s="1">
        <v>45756</v>
      </c>
      <c r="H606" s="1">
        <v>45771</v>
      </c>
      <c r="I606" s="1" t="str">
        <f>TEXT(Table1[[#This Row],[Admission Date]],"MMMM")</f>
        <v>April</v>
      </c>
      <c r="J606">
        <v>15</v>
      </c>
      <c r="K606">
        <v>156840</v>
      </c>
    </row>
    <row r="607" spans="1:11" x14ac:dyDescent="0.3">
      <c r="A607" t="s">
        <v>783</v>
      </c>
      <c r="B607" t="s">
        <v>135</v>
      </c>
      <c r="C607">
        <v>18</v>
      </c>
      <c r="D607" t="s">
        <v>18</v>
      </c>
      <c r="E607" t="s">
        <v>40</v>
      </c>
      <c r="F607" t="s">
        <v>35</v>
      </c>
      <c r="G607" s="1">
        <v>45815</v>
      </c>
      <c r="H607" s="1">
        <v>45816</v>
      </c>
      <c r="I607" s="1" t="str">
        <f>TEXT(Table1[[#This Row],[Admission Date]],"MMMM")</f>
        <v>June</v>
      </c>
      <c r="J607">
        <v>1</v>
      </c>
      <c r="K607">
        <v>10018</v>
      </c>
    </row>
    <row r="608" spans="1:11" x14ac:dyDescent="0.3">
      <c r="A608" t="s">
        <v>784</v>
      </c>
      <c r="B608" t="s">
        <v>276</v>
      </c>
      <c r="C608">
        <v>9</v>
      </c>
      <c r="D608" t="s">
        <v>18</v>
      </c>
      <c r="E608" t="s">
        <v>23</v>
      </c>
      <c r="F608" t="s">
        <v>60</v>
      </c>
      <c r="G608" s="1">
        <v>45694</v>
      </c>
      <c r="H608" s="1">
        <v>45699</v>
      </c>
      <c r="I608" s="1" t="str">
        <f>TEXT(Table1[[#This Row],[Admission Date]],"MMMM")</f>
        <v>February</v>
      </c>
      <c r="J608">
        <v>5</v>
      </c>
      <c r="K608">
        <v>30815</v>
      </c>
    </row>
    <row r="609" spans="1:11" x14ac:dyDescent="0.3">
      <c r="A609" t="s">
        <v>785</v>
      </c>
      <c r="B609" t="s">
        <v>331</v>
      </c>
      <c r="C609">
        <v>90</v>
      </c>
      <c r="D609" t="s">
        <v>13</v>
      </c>
      <c r="E609" t="s">
        <v>27</v>
      </c>
      <c r="F609" t="s">
        <v>15</v>
      </c>
      <c r="G609" s="1">
        <v>45761</v>
      </c>
      <c r="H609" s="1">
        <v>45769</v>
      </c>
      <c r="I609" s="1" t="str">
        <f>TEXT(Table1[[#This Row],[Admission Date]],"MMMM")</f>
        <v>April</v>
      </c>
      <c r="J609">
        <v>8</v>
      </c>
      <c r="K609">
        <v>45216</v>
      </c>
    </row>
    <row r="610" spans="1:11" x14ac:dyDescent="0.3">
      <c r="A610" t="s">
        <v>786</v>
      </c>
      <c r="B610" t="s">
        <v>169</v>
      </c>
      <c r="C610">
        <v>20</v>
      </c>
      <c r="D610" t="s">
        <v>13</v>
      </c>
      <c r="E610" t="s">
        <v>31</v>
      </c>
      <c r="F610" t="s">
        <v>20</v>
      </c>
      <c r="G610" s="1">
        <v>45698</v>
      </c>
      <c r="H610" s="1">
        <v>45704</v>
      </c>
      <c r="I610" s="1" t="str">
        <f>TEXT(Table1[[#This Row],[Admission Date]],"MMMM")</f>
        <v>February</v>
      </c>
      <c r="J610">
        <v>6</v>
      </c>
      <c r="K610">
        <v>38520</v>
      </c>
    </row>
    <row r="611" spans="1:11" x14ac:dyDescent="0.3">
      <c r="A611" t="s">
        <v>787</v>
      </c>
      <c r="B611" t="s">
        <v>108</v>
      </c>
      <c r="C611">
        <v>30</v>
      </c>
      <c r="D611" t="s">
        <v>18</v>
      </c>
      <c r="E611" t="s">
        <v>23</v>
      </c>
      <c r="F611" t="s">
        <v>60</v>
      </c>
      <c r="G611" s="1">
        <v>45680</v>
      </c>
      <c r="H611" s="1">
        <v>45695</v>
      </c>
      <c r="I611" s="1" t="str">
        <f>TEXT(Table1[[#This Row],[Admission Date]],"MMMM")</f>
        <v>January</v>
      </c>
      <c r="J611">
        <v>15</v>
      </c>
      <c r="K611">
        <v>85890</v>
      </c>
    </row>
    <row r="612" spans="1:11" x14ac:dyDescent="0.3">
      <c r="A612" t="s">
        <v>788</v>
      </c>
      <c r="B612" t="s">
        <v>135</v>
      </c>
      <c r="C612">
        <v>67</v>
      </c>
      <c r="D612" t="s">
        <v>13</v>
      </c>
      <c r="E612" t="s">
        <v>49</v>
      </c>
      <c r="F612" t="s">
        <v>35</v>
      </c>
      <c r="G612" s="1">
        <v>45790</v>
      </c>
      <c r="H612" s="1">
        <v>45796</v>
      </c>
      <c r="I612" s="1" t="str">
        <f>TEXT(Table1[[#This Row],[Admission Date]],"MMMM")</f>
        <v>May</v>
      </c>
      <c r="J612">
        <v>6</v>
      </c>
      <c r="K612">
        <v>25332</v>
      </c>
    </row>
    <row r="613" spans="1:11" x14ac:dyDescent="0.3">
      <c r="A613" t="s">
        <v>789</v>
      </c>
      <c r="B613" t="s">
        <v>83</v>
      </c>
      <c r="C613">
        <v>3</v>
      </c>
      <c r="D613" t="s">
        <v>13</v>
      </c>
      <c r="E613" t="s">
        <v>14</v>
      </c>
      <c r="F613" t="s">
        <v>20</v>
      </c>
      <c r="G613" s="1">
        <v>45819</v>
      </c>
      <c r="H613" s="1">
        <v>45831</v>
      </c>
      <c r="I613" s="1" t="str">
        <f>TEXT(Table1[[#This Row],[Admission Date]],"MMMM")</f>
        <v>June</v>
      </c>
      <c r="J613">
        <v>12</v>
      </c>
      <c r="K613">
        <v>133056</v>
      </c>
    </row>
    <row r="614" spans="1:11" x14ac:dyDescent="0.3">
      <c r="A614" t="s">
        <v>790</v>
      </c>
      <c r="B614" t="s">
        <v>268</v>
      </c>
      <c r="C614">
        <v>17</v>
      </c>
      <c r="D614" t="s">
        <v>18</v>
      </c>
      <c r="E614" t="s">
        <v>49</v>
      </c>
      <c r="F614" t="s">
        <v>35</v>
      </c>
      <c r="G614" s="1">
        <v>45729</v>
      </c>
      <c r="H614" s="1">
        <v>45731</v>
      </c>
      <c r="I614" s="1" t="str">
        <f>TEXT(Table1[[#This Row],[Admission Date]],"MMMM")</f>
        <v>March</v>
      </c>
      <c r="J614">
        <v>2</v>
      </c>
      <c r="K614">
        <v>20074</v>
      </c>
    </row>
    <row r="615" spans="1:11" x14ac:dyDescent="0.3">
      <c r="A615" t="s">
        <v>791</v>
      </c>
      <c r="B615" t="s">
        <v>372</v>
      </c>
      <c r="C615">
        <v>29</v>
      </c>
      <c r="D615" t="s">
        <v>18</v>
      </c>
      <c r="E615" t="s">
        <v>103</v>
      </c>
      <c r="F615" t="s">
        <v>15</v>
      </c>
      <c r="G615" s="1">
        <v>45997</v>
      </c>
      <c r="H615" s="1">
        <v>46006</v>
      </c>
      <c r="I615" s="1" t="str">
        <f>TEXT(Table1[[#This Row],[Admission Date]],"MMMM")</f>
        <v>December</v>
      </c>
      <c r="J615">
        <v>9</v>
      </c>
      <c r="K615">
        <v>82143</v>
      </c>
    </row>
    <row r="616" spans="1:11" x14ac:dyDescent="0.3">
      <c r="A616" t="s">
        <v>792</v>
      </c>
      <c r="B616" t="s">
        <v>793</v>
      </c>
      <c r="C616">
        <v>15</v>
      </c>
      <c r="D616" t="s">
        <v>13</v>
      </c>
      <c r="E616" t="s">
        <v>40</v>
      </c>
      <c r="F616" t="s">
        <v>15</v>
      </c>
      <c r="G616" s="1">
        <v>45869</v>
      </c>
      <c r="H616" s="1">
        <v>45874</v>
      </c>
      <c r="I616" s="1" t="str">
        <f>TEXT(Table1[[#This Row],[Admission Date]],"MMMM")</f>
        <v>July</v>
      </c>
      <c r="J616">
        <v>5</v>
      </c>
      <c r="K616">
        <v>55545</v>
      </c>
    </row>
    <row r="617" spans="1:11" x14ac:dyDescent="0.3">
      <c r="A617" t="s">
        <v>794</v>
      </c>
      <c r="B617" t="s">
        <v>157</v>
      </c>
      <c r="C617">
        <v>82</v>
      </c>
      <c r="D617" t="s">
        <v>13</v>
      </c>
      <c r="E617" t="s">
        <v>31</v>
      </c>
      <c r="F617" t="s">
        <v>43</v>
      </c>
      <c r="G617" s="1">
        <v>45696</v>
      </c>
      <c r="H617" s="1">
        <v>45705</v>
      </c>
      <c r="I617" s="1" t="str">
        <f>TEXT(Table1[[#This Row],[Admission Date]],"MMMM")</f>
        <v>February</v>
      </c>
      <c r="J617">
        <v>9</v>
      </c>
      <c r="K617">
        <v>92349</v>
      </c>
    </row>
    <row r="618" spans="1:11" x14ac:dyDescent="0.3">
      <c r="A618" t="s">
        <v>795</v>
      </c>
      <c r="B618" t="s">
        <v>276</v>
      </c>
      <c r="C618">
        <v>40</v>
      </c>
      <c r="D618" t="s">
        <v>18</v>
      </c>
      <c r="E618" t="s">
        <v>34</v>
      </c>
      <c r="F618" t="s">
        <v>35</v>
      </c>
      <c r="G618" s="1">
        <v>45813</v>
      </c>
      <c r="H618" s="1">
        <v>45820</v>
      </c>
      <c r="I618" s="1" t="str">
        <f>TEXT(Table1[[#This Row],[Admission Date]],"MMMM")</f>
        <v>June</v>
      </c>
      <c r="J618">
        <v>7</v>
      </c>
      <c r="K618">
        <v>35868</v>
      </c>
    </row>
    <row r="619" spans="1:11" x14ac:dyDescent="0.3">
      <c r="A619" t="s">
        <v>796</v>
      </c>
      <c r="B619" t="s">
        <v>17</v>
      </c>
      <c r="C619">
        <v>54</v>
      </c>
      <c r="D619" t="s">
        <v>18</v>
      </c>
      <c r="E619" t="s">
        <v>46</v>
      </c>
      <c r="F619" t="s">
        <v>20</v>
      </c>
      <c r="G619" s="1">
        <v>45763</v>
      </c>
      <c r="H619" s="1">
        <v>45770</v>
      </c>
      <c r="I619" s="1" t="str">
        <f>TEXT(Table1[[#This Row],[Admission Date]],"MMMM")</f>
        <v>April</v>
      </c>
      <c r="J619">
        <v>7</v>
      </c>
      <c r="K619">
        <v>76090</v>
      </c>
    </row>
    <row r="620" spans="1:11" x14ac:dyDescent="0.3">
      <c r="A620" t="s">
        <v>797</v>
      </c>
      <c r="B620" t="s">
        <v>22</v>
      </c>
      <c r="C620">
        <v>10</v>
      </c>
      <c r="D620" t="s">
        <v>18</v>
      </c>
      <c r="E620" t="s">
        <v>103</v>
      </c>
      <c r="F620" t="s">
        <v>63</v>
      </c>
      <c r="G620" s="1">
        <v>46008</v>
      </c>
      <c r="H620" s="1">
        <v>46015</v>
      </c>
      <c r="I620" s="1" t="str">
        <f>TEXT(Table1[[#This Row],[Admission Date]],"MMMM")</f>
        <v>December</v>
      </c>
      <c r="J620">
        <v>7</v>
      </c>
      <c r="K620">
        <v>69447</v>
      </c>
    </row>
    <row r="621" spans="1:11" x14ac:dyDescent="0.3">
      <c r="A621" t="s">
        <v>798</v>
      </c>
      <c r="B621" t="s">
        <v>108</v>
      </c>
      <c r="C621">
        <v>87</v>
      </c>
      <c r="D621" t="s">
        <v>18</v>
      </c>
      <c r="E621" t="s">
        <v>23</v>
      </c>
      <c r="F621" t="s">
        <v>24</v>
      </c>
      <c r="G621" s="1">
        <v>45776</v>
      </c>
      <c r="H621" s="1">
        <v>45783</v>
      </c>
      <c r="I621" s="1" t="str">
        <f>TEXT(Table1[[#This Row],[Admission Date]],"MMMM")</f>
        <v>April</v>
      </c>
      <c r="J621">
        <v>7</v>
      </c>
      <c r="K621">
        <v>48118</v>
      </c>
    </row>
    <row r="622" spans="1:11" x14ac:dyDescent="0.3">
      <c r="A622" t="s">
        <v>799</v>
      </c>
      <c r="B622" t="s">
        <v>335</v>
      </c>
      <c r="C622">
        <v>36</v>
      </c>
      <c r="D622" t="s">
        <v>13</v>
      </c>
      <c r="E622" t="s">
        <v>14</v>
      </c>
      <c r="F622" t="s">
        <v>15</v>
      </c>
      <c r="G622" s="1">
        <v>45963</v>
      </c>
      <c r="H622" s="1">
        <v>45967</v>
      </c>
      <c r="I622" s="1" t="str">
        <f>TEXT(Table1[[#This Row],[Admission Date]],"MMMM")</f>
        <v>November</v>
      </c>
      <c r="J622">
        <v>4</v>
      </c>
      <c r="K622">
        <v>18240</v>
      </c>
    </row>
    <row r="623" spans="1:11" x14ac:dyDescent="0.3">
      <c r="A623" t="s">
        <v>800</v>
      </c>
      <c r="B623" t="s">
        <v>155</v>
      </c>
      <c r="C623">
        <v>86</v>
      </c>
      <c r="D623" t="s">
        <v>18</v>
      </c>
      <c r="E623" t="s">
        <v>31</v>
      </c>
      <c r="F623" t="s">
        <v>24</v>
      </c>
      <c r="G623" s="1">
        <v>45944</v>
      </c>
      <c r="H623" s="1">
        <v>45949</v>
      </c>
      <c r="I623" s="1" t="str">
        <f>TEXT(Table1[[#This Row],[Admission Date]],"MMMM")</f>
        <v>October</v>
      </c>
      <c r="J623">
        <v>5</v>
      </c>
      <c r="K623">
        <v>56445</v>
      </c>
    </row>
    <row r="624" spans="1:11" x14ac:dyDescent="0.3">
      <c r="A624" t="s">
        <v>801</v>
      </c>
      <c r="B624" t="s">
        <v>149</v>
      </c>
      <c r="C624">
        <v>81</v>
      </c>
      <c r="D624" t="s">
        <v>13</v>
      </c>
      <c r="E624" t="s">
        <v>49</v>
      </c>
      <c r="F624" t="s">
        <v>24</v>
      </c>
      <c r="G624" s="1">
        <v>46008</v>
      </c>
      <c r="H624" s="1">
        <v>46014</v>
      </c>
      <c r="I624" s="1" t="str">
        <f>TEXT(Table1[[#This Row],[Admission Date]],"MMMM")</f>
        <v>December</v>
      </c>
      <c r="J624">
        <v>6</v>
      </c>
      <c r="K624">
        <v>30882</v>
      </c>
    </row>
    <row r="625" spans="1:11" x14ac:dyDescent="0.3">
      <c r="A625" t="s">
        <v>802</v>
      </c>
      <c r="B625" t="s">
        <v>309</v>
      </c>
      <c r="C625">
        <v>61</v>
      </c>
      <c r="D625" t="s">
        <v>18</v>
      </c>
      <c r="E625" t="s">
        <v>103</v>
      </c>
      <c r="F625" t="s">
        <v>24</v>
      </c>
      <c r="G625" s="1">
        <v>45843</v>
      </c>
      <c r="H625" s="1">
        <v>45844</v>
      </c>
      <c r="I625" s="1" t="str">
        <f>TEXT(Table1[[#This Row],[Admission Date]],"MMMM")</f>
        <v>July</v>
      </c>
      <c r="J625">
        <v>1</v>
      </c>
      <c r="K625">
        <v>11680</v>
      </c>
    </row>
    <row r="626" spans="1:11" x14ac:dyDescent="0.3">
      <c r="A626" t="s">
        <v>803</v>
      </c>
      <c r="B626" t="s">
        <v>555</v>
      </c>
      <c r="C626">
        <v>77</v>
      </c>
      <c r="D626" t="s">
        <v>13</v>
      </c>
      <c r="E626" t="s">
        <v>27</v>
      </c>
      <c r="F626" t="s">
        <v>43</v>
      </c>
      <c r="G626" s="1">
        <v>45904</v>
      </c>
      <c r="H626" s="1">
        <v>45913</v>
      </c>
      <c r="I626" s="1" t="str">
        <f>TEXT(Table1[[#This Row],[Admission Date]],"MMMM")</f>
        <v>September</v>
      </c>
      <c r="J626">
        <v>9</v>
      </c>
      <c r="K626">
        <v>43290</v>
      </c>
    </row>
    <row r="627" spans="1:11" x14ac:dyDescent="0.3">
      <c r="A627" t="s">
        <v>804</v>
      </c>
      <c r="B627" t="s">
        <v>169</v>
      </c>
      <c r="C627">
        <v>41</v>
      </c>
      <c r="D627" t="s">
        <v>18</v>
      </c>
      <c r="E627" t="s">
        <v>34</v>
      </c>
      <c r="F627" t="s">
        <v>15</v>
      </c>
      <c r="G627" s="1">
        <v>45862</v>
      </c>
      <c r="H627" s="1">
        <v>45868</v>
      </c>
      <c r="I627" s="1" t="str">
        <f>TEXT(Table1[[#This Row],[Admission Date]],"MMMM")</f>
        <v>July</v>
      </c>
      <c r="J627">
        <v>6</v>
      </c>
      <c r="K627">
        <v>43374</v>
      </c>
    </row>
    <row r="628" spans="1:11" x14ac:dyDescent="0.3">
      <c r="A628" t="s">
        <v>805</v>
      </c>
      <c r="B628" t="s">
        <v>250</v>
      </c>
      <c r="C628">
        <v>3</v>
      </c>
      <c r="D628" t="s">
        <v>18</v>
      </c>
      <c r="E628" t="s">
        <v>27</v>
      </c>
      <c r="F628" t="s">
        <v>20</v>
      </c>
      <c r="G628" s="1">
        <v>45735</v>
      </c>
      <c r="H628" s="1">
        <v>45740</v>
      </c>
      <c r="I628" s="1" t="str">
        <f>TEXT(Table1[[#This Row],[Admission Date]],"MMMM")</f>
        <v>March</v>
      </c>
      <c r="J628">
        <v>5</v>
      </c>
      <c r="K628">
        <v>54815</v>
      </c>
    </row>
    <row r="629" spans="1:11" x14ac:dyDescent="0.3">
      <c r="A629" t="s">
        <v>806</v>
      </c>
      <c r="B629" t="s">
        <v>159</v>
      </c>
      <c r="C629">
        <v>50</v>
      </c>
      <c r="D629" t="s">
        <v>13</v>
      </c>
      <c r="E629" t="s">
        <v>34</v>
      </c>
      <c r="F629" t="s">
        <v>60</v>
      </c>
      <c r="G629" s="1">
        <v>45704</v>
      </c>
      <c r="H629" s="1">
        <v>45715</v>
      </c>
      <c r="I629" s="1" t="str">
        <f>TEXT(Table1[[#This Row],[Admission Date]],"MMMM")</f>
        <v>February</v>
      </c>
      <c r="J629">
        <v>11</v>
      </c>
      <c r="K629">
        <v>113366</v>
      </c>
    </row>
    <row r="630" spans="1:11" x14ac:dyDescent="0.3">
      <c r="A630" t="s">
        <v>807</v>
      </c>
      <c r="B630" t="s">
        <v>155</v>
      </c>
      <c r="C630">
        <v>31</v>
      </c>
      <c r="D630" t="s">
        <v>13</v>
      </c>
      <c r="E630" t="s">
        <v>103</v>
      </c>
      <c r="F630" t="s">
        <v>15</v>
      </c>
      <c r="G630" s="1">
        <v>45799</v>
      </c>
      <c r="H630" s="1">
        <v>45812</v>
      </c>
      <c r="I630" s="1" t="str">
        <f>TEXT(Table1[[#This Row],[Admission Date]],"MMMM")</f>
        <v>May</v>
      </c>
      <c r="J630">
        <v>13</v>
      </c>
      <c r="K630">
        <v>127296</v>
      </c>
    </row>
    <row r="631" spans="1:11" x14ac:dyDescent="0.3">
      <c r="A631" t="s">
        <v>808</v>
      </c>
      <c r="B631" t="s">
        <v>147</v>
      </c>
      <c r="C631">
        <v>44</v>
      </c>
      <c r="D631" t="s">
        <v>18</v>
      </c>
      <c r="E631" t="s">
        <v>23</v>
      </c>
      <c r="F631" t="s">
        <v>60</v>
      </c>
      <c r="G631" s="1">
        <v>45836</v>
      </c>
      <c r="H631" s="1">
        <v>45842</v>
      </c>
      <c r="I631" s="1" t="str">
        <f>TEXT(Table1[[#This Row],[Admission Date]],"MMMM")</f>
        <v>June</v>
      </c>
      <c r="J631">
        <v>6</v>
      </c>
      <c r="K631">
        <v>39714</v>
      </c>
    </row>
    <row r="632" spans="1:11" x14ac:dyDescent="0.3">
      <c r="A632" t="s">
        <v>809</v>
      </c>
      <c r="B632" t="s">
        <v>380</v>
      </c>
      <c r="C632">
        <v>40</v>
      </c>
      <c r="D632" t="s">
        <v>18</v>
      </c>
      <c r="E632" t="s">
        <v>46</v>
      </c>
      <c r="F632" t="s">
        <v>28</v>
      </c>
      <c r="G632" s="1">
        <v>46007</v>
      </c>
      <c r="H632" s="1">
        <v>46022</v>
      </c>
      <c r="I632" s="1" t="str">
        <f>TEXT(Table1[[#This Row],[Admission Date]],"MMMM")</f>
        <v>December</v>
      </c>
      <c r="J632">
        <v>15</v>
      </c>
      <c r="K632">
        <v>136110</v>
      </c>
    </row>
    <row r="633" spans="1:11" x14ac:dyDescent="0.3">
      <c r="A633" t="s">
        <v>810</v>
      </c>
      <c r="B633" t="s">
        <v>221</v>
      </c>
      <c r="C633">
        <v>84</v>
      </c>
      <c r="D633" t="s">
        <v>13</v>
      </c>
      <c r="E633" t="s">
        <v>31</v>
      </c>
      <c r="F633" t="s">
        <v>15</v>
      </c>
      <c r="G633" s="1">
        <v>45765</v>
      </c>
      <c r="H633" s="1">
        <v>45778</v>
      </c>
      <c r="I633" s="1" t="str">
        <f>TEXT(Table1[[#This Row],[Admission Date]],"MMMM")</f>
        <v>April</v>
      </c>
      <c r="J633">
        <v>13</v>
      </c>
      <c r="K633">
        <v>129519</v>
      </c>
    </row>
    <row r="634" spans="1:11" x14ac:dyDescent="0.3">
      <c r="A634" t="s">
        <v>811</v>
      </c>
      <c r="B634" t="s">
        <v>326</v>
      </c>
      <c r="C634">
        <v>23</v>
      </c>
      <c r="D634" t="s">
        <v>18</v>
      </c>
      <c r="E634" t="s">
        <v>27</v>
      </c>
      <c r="F634" t="s">
        <v>15</v>
      </c>
      <c r="G634" s="1">
        <v>45942</v>
      </c>
      <c r="H634" s="1">
        <v>45943</v>
      </c>
      <c r="I634" s="1" t="str">
        <f>TEXT(Table1[[#This Row],[Admission Date]],"MMMM")</f>
        <v>October</v>
      </c>
      <c r="J634">
        <v>1</v>
      </c>
      <c r="K634">
        <v>7958</v>
      </c>
    </row>
    <row r="635" spans="1:11" x14ac:dyDescent="0.3">
      <c r="A635" t="s">
        <v>812</v>
      </c>
      <c r="B635" t="s">
        <v>362</v>
      </c>
      <c r="C635">
        <v>57</v>
      </c>
      <c r="D635" t="s">
        <v>18</v>
      </c>
      <c r="E635" t="s">
        <v>19</v>
      </c>
      <c r="F635" t="s">
        <v>63</v>
      </c>
      <c r="G635" s="1">
        <v>45713</v>
      </c>
      <c r="H635" s="1">
        <v>45715</v>
      </c>
      <c r="I635" s="1" t="str">
        <f>TEXT(Table1[[#This Row],[Admission Date]],"MMMM")</f>
        <v>February</v>
      </c>
      <c r="J635">
        <v>2</v>
      </c>
      <c r="K635">
        <v>20154</v>
      </c>
    </row>
    <row r="636" spans="1:11" x14ac:dyDescent="0.3">
      <c r="A636" t="s">
        <v>813</v>
      </c>
      <c r="B636" t="s">
        <v>179</v>
      </c>
      <c r="C636">
        <v>8</v>
      </c>
      <c r="D636" t="s">
        <v>18</v>
      </c>
      <c r="E636" t="s">
        <v>19</v>
      </c>
      <c r="F636" t="s">
        <v>60</v>
      </c>
      <c r="G636" s="1">
        <v>45764</v>
      </c>
      <c r="H636" s="1">
        <v>45775</v>
      </c>
      <c r="I636" s="1" t="str">
        <f>TEXT(Table1[[#This Row],[Admission Date]],"MMMM")</f>
        <v>April</v>
      </c>
      <c r="J636">
        <v>11</v>
      </c>
      <c r="K636">
        <v>58993</v>
      </c>
    </row>
    <row r="637" spans="1:11" x14ac:dyDescent="0.3">
      <c r="A637" t="s">
        <v>814</v>
      </c>
      <c r="B637" t="s">
        <v>169</v>
      </c>
      <c r="C637">
        <v>40</v>
      </c>
      <c r="D637" t="s">
        <v>13</v>
      </c>
      <c r="E637" t="s">
        <v>14</v>
      </c>
      <c r="F637" t="s">
        <v>24</v>
      </c>
      <c r="G637" s="1">
        <v>45879</v>
      </c>
      <c r="H637" s="1">
        <v>45892</v>
      </c>
      <c r="I637" s="1" t="str">
        <f>TEXT(Table1[[#This Row],[Admission Date]],"MMMM")</f>
        <v>August</v>
      </c>
      <c r="J637">
        <v>13</v>
      </c>
      <c r="K637">
        <v>143312</v>
      </c>
    </row>
    <row r="638" spans="1:11" x14ac:dyDescent="0.3">
      <c r="A638" t="s">
        <v>815</v>
      </c>
      <c r="B638" t="s">
        <v>456</v>
      </c>
      <c r="C638">
        <v>15</v>
      </c>
      <c r="D638" t="s">
        <v>18</v>
      </c>
      <c r="E638" t="s">
        <v>103</v>
      </c>
      <c r="F638" t="s">
        <v>28</v>
      </c>
      <c r="G638" s="1">
        <v>45666</v>
      </c>
      <c r="H638" s="1">
        <v>45670</v>
      </c>
      <c r="I638" s="1" t="str">
        <f>TEXT(Table1[[#This Row],[Admission Date]],"MMMM")</f>
        <v>January</v>
      </c>
      <c r="J638">
        <v>4</v>
      </c>
      <c r="K638">
        <v>17372</v>
      </c>
    </row>
    <row r="639" spans="1:11" x14ac:dyDescent="0.3">
      <c r="A639" t="s">
        <v>816</v>
      </c>
      <c r="B639" t="s">
        <v>138</v>
      </c>
      <c r="C639">
        <v>11</v>
      </c>
      <c r="D639" t="s">
        <v>18</v>
      </c>
      <c r="E639" t="s">
        <v>27</v>
      </c>
      <c r="F639" t="s">
        <v>15</v>
      </c>
      <c r="G639" s="1">
        <v>45845</v>
      </c>
      <c r="H639" s="1">
        <v>45859</v>
      </c>
      <c r="I639" s="1" t="str">
        <f>TEXT(Table1[[#This Row],[Admission Date]],"MMMM")</f>
        <v>July</v>
      </c>
      <c r="J639">
        <v>14</v>
      </c>
      <c r="K639">
        <v>107184</v>
      </c>
    </row>
    <row r="640" spans="1:11" x14ac:dyDescent="0.3">
      <c r="A640" t="s">
        <v>817</v>
      </c>
      <c r="B640" t="s">
        <v>627</v>
      </c>
      <c r="C640">
        <v>55</v>
      </c>
      <c r="D640" t="s">
        <v>13</v>
      </c>
      <c r="E640" t="s">
        <v>23</v>
      </c>
      <c r="F640" t="s">
        <v>28</v>
      </c>
      <c r="G640" s="1">
        <v>45940</v>
      </c>
      <c r="H640" s="1">
        <v>45948</v>
      </c>
      <c r="I640" s="1" t="str">
        <f>TEXT(Table1[[#This Row],[Admission Date]],"MMMM")</f>
        <v>October</v>
      </c>
      <c r="J640">
        <v>8</v>
      </c>
      <c r="K640">
        <v>91064</v>
      </c>
    </row>
    <row r="641" spans="1:11" x14ac:dyDescent="0.3">
      <c r="A641" t="s">
        <v>818</v>
      </c>
      <c r="B641" t="s">
        <v>344</v>
      </c>
      <c r="C641">
        <v>83</v>
      </c>
      <c r="D641" t="s">
        <v>18</v>
      </c>
      <c r="E641" t="s">
        <v>14</v>
      </c>
      <c r="F641" t="s">
        <v>20</v>
      </c>
      <c r="G641" s="1">
        <v>45659</v>
      </c>
      <c r="H641" s="1">
        <v>45663</v>
      </c>
      <c r="I641" s="1" t="str">
        <f>TEXT(Table1[[#This Row],[Admission Date]],"MMMM")</f>
        <v>January</v>
      </c>
      <c r="J641">
        <v>4</v>
      </c>
      <c r="K641">
        <v>30700</v>
      </c>
    </row>
    <row r="642" spans="1:11" x14ac:dyDescent="0.3">
      <c r="A642" t="s">
        <v>819</v>
      </c>
      <c r="B642" t="s">
        <v>55</v>
      </c>
      <c r="C642">
        <v>16</v>
      </c>
      <c r="D642" t="s">
        <v>13</v>
      </c>
      <c r="E642" t="s">
        <v>14</v>
      </c>
      <c r="F642" t="s">
        <v>63</v>
      </c>
      <c r="G642" s="1">
        <v>45919</v>
      </c>
      <c r="H642" s="1">
        <v>45928</v>
      </c>
      <c r="I642" s="1" t="str">
        <f>TEXT(Table1[[#This Row],[Admission Date]],"MMMM")</f>
        <v>September</v>
      </c>
      <c r="J642">
        <v>9</v>
      </c>
      <c r="K642">
        <v>100611</v>
      </c>
    </row>
    <row r="643" spans="1:11" x14ac:dyDescent="0.3">
      <c r="A643" t="s">
        <v>820</v>
      </c>
      <c r="B643" t="s">
        <v>284</v>
      </c>
      <c r="C643">
        <v>62</v>
      </c>
      <c r="D643" t="s">
        <v>18</v>
      </c>
      <c r="E643" t="s">
        <v>19</v>
      </c>
      <c r="F643" t="s">
        <v>43</v>
      </c>
      <c r="G643" s="1">
        <v>45981</v>
      </c>
      <c r="H643" s="1">
        <v>45988</v>
      </c>
      <c r="I643" s="1" t="str">
        <f>TEXT(Table1[[#This Row],[Admission Date]],"MMMM")</f>
        <v>November</v>
      </c>
      <c r="J643">
        <v>7</v>
      </c>
      <c r="K643">
        <v>67620</v>
      </c>
    </row>
    <row r="644" spans="1:11" x14ac:dyDescent="0.3">
      <c r="A644" t="s">
        <v>821</v>
      </c>
      <c r="B644" t="s">
        <v>99</v>
      </c>
      <c r="C644">
        <v>45</v>
      </c>
      <c r="D644" t="s">
        <v>18</v>
      </c>
      <c r="E644" t="s">
        <v>14</v>
      </c>
      <c r="F644" t="s">
        <v>20</v>
      </c>
      <c r="G644" s="1">
        <v>45956</v>
      </c>
      <c r="H644" s="1">
        <v>45967</v>
      </c>
      <c r="I644" s="1" t="str">
        <f>TEXT(Table1[[#This Row],[Admission Date]],"MMMM")</f>
        <v>October</v>
      </c>
      <c r="J644">
        <v>11</v>
      </c>
      <c r="K644">
        <v>47696</v>
      </c>
    </row>
    <row r="645" spans="1:11" x14ac:dyDescent="0.3">
      <c r="A645" t="s">
        <v>822</v>
      </c>
      <c r="B645" t="s">
        <v>45</v>
      </c>
      <c r="C645">
        <v>36</v>
      </c>
      <c r="D645" t="s">
        <v>13</v>
      </c>
      <c r="E645" t="s">
        <v>23</v>
      </c>
      <c r="F645" t="s">
        <v>43</v>
      </c>
      <c r="G645" s="1">
        <v>45762</v>
      </c>
      <c r="H645" s="1">
        <v>45768</v>
      </c>
      <c r="I645" s="1" t="str">
        <f>TEXT(Table1[[#This Row],[Admission Date]],"MMMM")</f>
        <v>April</v>
      </c>
      <c r="J645">
        <v>6</v>
      </c>
      <c r="K645">
        <v>32958</v>
      </c>
    </row>
    <row r="646" spans="1:11" x14ac:dyDescent="0.3">
      <c r="A646" t="s">
        <v>823</v>
      </c>
      <c r="B646" t="s">
        <v>147</v>
      </c>
      <c r="C646">
        <v>11</v>
      </c>
      <c r="D646" t="s">
        <v>13</v>
      </c>
      <c r="E646" t="s">
        <v>23</v>
      </c>
      <c r="F646" t="s">
        <v>24</v>
      </c>
      <c r="G646" s="1">
        <v>45853</v>
      </c>
      <c r="H646" s="1">
        <v>45867</v>
      </c>
      <c r="I646" s="1" t="str">
        <f>TEXT(Table1[[#This Row],[Admission Date]],"MMMM")</f>
        <v>July</v>
      </c>
      <c r="J646">
        <v>14</v>
      </c>
      <c r="K646">
        <v>107814</v>
      </c>
    </row>
    <row r="647" spans="1:11" x14ac:dyDescent="0.3">
      <c r="A647" t="s">
        <v>824</v>
      </c>
      <c r="B647" t="s">
        <v>177</v>
      </c>
      <c r="C647">
        <v>48</v>
      </c>
      <c r="D647" t="s">
        <v>13</v>
      </c>
      <c r="E647" t="s">
        <v>103</v>
      </c>
      <c r="F647" t="s">
        <v>24</v>
      </c>
      <c r="G647" s="1">
        <v>45747</v>
      </c>
      <c r="H647" s="1">
        <v>45755</v>
      </c>
      <c r="I647" s="1" t="str">
        <f>TEXT(Table1[[#This Row],[Admission Date]],"MMMM")</f>
        <v>March</v>
      </c>
      <c r="J647">
        <v>8</v>
      </c>
      <c r="K647">
        <v>60560</v>
      </c>
    </row>
    <row r="648" spans="1:11" x14ac:dyDescent="0.3">
      <c r="A648" t="s">
        <v>825</v>
      </c>
      <c r="B648" t="s">
        <v>326</v>
      </c>
      <c r="C648">
        <v>19</v>
      </c>
      <c r="D648" t="s">
        <v>18</v>
      </c>
      <c r="E648" t="s">
        <v>23</v>
      </c>
      <c r="F648" t="s">
        <v>35</v>
      </c>
      <c r="G648" s="1">
        <v>45869</v>
      </c>
      <c r="H648" s="1">
        <v>45870</v>
      </c>
      <c r="I648" s="1" t="str">
        <f>TEXT(Table1[[#This Row],[Admission Date]],"MMMM")</f>
        <v>July</v>
      </c>
      <c r="J648">
        <v>1</v>
      </c>
      <c r="K648">
        <v>10474</v>
      </c>
    </row>
    <row r="649" spans="1:11" x14ac:dyDescent="0.3">
      <c r="A649" t="s">
        <v>826</v>
      </c>
      <c r="B649" t="s">
        <v>87</v>
      </c>
      <c r="C649">
        <v>41</v>
      </c>
      <c r="D649" t="s">
        <v>13</v>
      </c>
      <c r="E649" t="s">
        <v>34</v>
      </c>
      <c r="F649" t="s">
        <v>63</v>
      </c>
      <c r="G649" s="1">
        <v>45986</v>
      </c>
      <c r="H649" s="1">
        <v>45991</v>
      </c>
      <c r="I649" s="1" t="str">
        <f>TEXT(Table1[[#This Row],[Admission Date]],"MMMM")</f>
        <v>November</v>
      </c>
      <c r="J649">
        <v>5</v>
      </c>
      <c r="K649">
        <v>51060</v>
      </c>
    </row>
    <row r="650" spans="1:11" x14ac:dyDescent="0.3">
      <c r="A650" t="s">
        <v>827</v>
      </c>
      <c r="B650" t="s">
        <v>62</v>
      </c>
      <c r="C650">
        <v>4</v>
      </c>
      <c r="D650" t="s">
        <v>13</v>
      </c>
      <c r="E650" t="s">
        <v>103</v>
      </c>
      <c r="F650" t="s">
        <v>28</v>
      </c>
      <c r="G650" s="1">
        <v>45775</v>
      </c>
      <c r="H650" s="1">
        <v>45782</v>
      </c>
      <c r="I650" s="1" t="str">
        <f>TEXT(Table1[[#This Row],[Admission Date]],"MMMM")</f>
        <v>April</v>
      </c>
      <c r="J650">
        <v>7</v>
      </c>
      <c r="K650">
        <v>55510</v>
      </c>
    </row>
    <row r="651" spans="1:11" x14ac:dyDescent="0.3">
      <c r="A651" t="s">
        <v>828</v>
      </c>
      <c r="B651" t="s">
        <v>603</v>
      </c>
      <c r="C651">
        <v>10</v>
      </c>
      <c r="D651" t="s">
        <v>13</v>
      </c>
      <c r="E651" t="s">
        <v>49</v>
      </c>
      <c r="F651" t="s">
        <v>43</v>
      </c>
      <c r="G651" s="1">
        <v>45753</v>
      </c>
      <c r="H651" s="1">
        <v>45755</v>
      </c>
      <c r="I651" s="1" t="str">
        <f>TEXT(Table1[[#This Row],[Admission Date]],"MMMM")</f>
        <v>April</v>
      </c>
      <c r="J651">
        <v>2</v>
      </c>
      <c r="K651">
        <v>19618</v>
      </c>
    </row>
    <row r="652" spans="1:11" x14ac:dyDescent="0.3">
      <c r="A652" t="s">
        <v>829</v>
      </c>
      <c r="B652" t="s">
        <v>48</v>
      </c>
      <c r="C652">
        <v>42</v>
      </c>
      <c r="D652" t="s">
        <v>18</v>
      </c>
      <c r="E652" t="s">
        <v>103</v>
      </c>
      <c r="F652" t="s">
        <v>24</v>
      </c>
      <c r="G652" s="1">
        <v>45956</v>
      </c>
      <c r="H652" s="1">
        <v>45964</v>
      </c>
      <c r="I652" s="1" t="str">
        <f>TEXT(Table1[[#This Row],[Admission Date]],"MMMM")</f>
        <v>October</v>
      </c>
      <c r="J652">
        <v>8</v>
      </c>
      <c r="K652">
        <v>47760</v>
      </c>
    </row>
    <row r="653" spans="1:11" x14ac:dyDescent="0.3">
      <c r="A653" t="s">
        <v>830</v>
      </c>
      <c r="B653" t="s">
        <v>204</v>
      </c>
      <c r="C653">
        <v>44</v>
      </c>
      <c r="D653" t="s">
        <v>18</v>
      </c>
      <c r="E653" t="s">
        <v>103</v>
      </c>
      <c r="F653" t="s">
        <v>63</v>
      </c>
      <c r="G653" s="1">
        <v>45862</v>
      </c>
      <c r="H653" s="1">
        <v>45863</v>
      </c>
      <c r="I653" s="1" t="str">
        <f>TEXT(Table1[[#This Row],[Admission Date]],"MMMM")</f>
        <v>July</v>
      </c>
      <c r="J653">
        <v>1</v>
      </c>
      <c r="K653">
        <v>5406</v>
      </c>
    </row>
    <row r="654" spans="1:11" x14ac:dyDescent="0.3">
      <c r="A654" t="s">
        <v>831</v>
      </c>
      <c r="B654" t="s">
        <v>465</v>
      </c>
      <c r="C654">
        <v>41</v>
      </c>
      <c r="D654" t="s">
        <v>18</v>
      </c>
      <c r="E654" t="s">
        <v>46</v>
      </c>
      <c r="F654" t="s">
        <v>60</v>
      </c>
      <c r="G654" s="1">
        <v>45867</v>
      </c>
      <c r="H654" s="1">
        <v>45879</v>
      </c>
      <c r="I654" s="1" t="str">
        <f>TEXT(Table1[[#This Row],[Admission Date]],"MMMM")</f>
        <v>July</v>
      </c>
      <c r="J654">
        <v>12</v>
      </c>
      <c r="K654">
        <v>55692</v>
      </c>
    </row>
    <row r="655" spans="1:11" x14ac:dyDescent="0.3">
      <c r="A655" t="s">
        <v>832</v>
      </c>
      <c r="B655" t="s">
        <v>119</v>
      </c>
      <c r="C655">
        <v>78</v>
      </c>
      <c r="D655" t="s">
        <v>13</v>
      </c>
      <c r="E655" t="s">
        <v>23</v>
      </c>
      <c r="F655" t="s">
        <v>15</v>
      </c>
      <c r="G655" s="1">
        <v>45950</v>
      </c>
      <c r="H655" s="1">
        <v>45961</v>
      </c>
      <c r="I655" s="1" t="str">
        <f>TEXT(Table1[[#This Row],[Admission Date]],"MMMM")</f>
        <v>October</v>
      </c>
      <c r="J655">
        <v>11</v>
      </c>
      <c r="K655">
        <v>68849</v>
      </c>
    </row>
    <row r="656" spans="1:11" x14ac:dyDescent="0.3">
      <c r="A656" t="s">
        <v>833</v>
      </c>
      <c r="B656" t="s">
        <v>326</v>
      </c>
      <c r="C656">
        <v>75</v>
      </c>
      <c r="D656" t="s">
        <v>13</v>
      </c>
      <c r="E656" t="s">
        <v>23</v>
      </c>
      <c r="F656" t="s">
        <v>43</v>
      </c>
      <c r="G656" s="1">
        <v>45997</v>
      </c>
      <c r="H656" s="1">
        <v>46002</v>
      </c>
      <c r="I656" s="1" t="str">
        <f>TEXT(Table1[[#This Row],[Admission Date]],"MMMM")</f>
        <v>December</v>
      </c>
      <c r="J656">
        <v>5</v>
      </c>
      <c r="K656">
        <v>30545</v>
      </c>
    </row>
    <row r="657" spans="1:11" x14ac:dyDescent="0.3">
      <c r="A657" t="s">
        <v>834</v>
      </c>
      <c r="B657" t="s">
        <v>186</v>
      </c>
      <c r="C657">
        <v>78</v>
      </c>
      <c r="D657" t="s">
        <v>13</v>
      </c>
      <c r="E657" t="s">
        <v>31</v>
      </c>
      <c r="F657" t="s">
        <v>15</v>
      </c>
      <c r="G657" s="1">
        <v>45725</v>
      </c>
      <c r="H657" s="1">
        <v>45734</v>
      </c>
      <c r="I657" s="1" t="str">
        <f>TEXT(Table1[[#This Row],[Admission Date]],"MMMM")</f>
        <v>March</v>
      </c>
      <c r="J657">
        <v>9</v>
      </c>
      <c r="K657">
        <v>52938</v>
      </c>
    </row>
    <row r="658" spans="1:11" x14ac:dyDescent="0.3">
      <c r="A658" t="s">
        <v>835</v>
      </c>
      <c r="B658" t="s">
        <v>97</v>
      </c>
      <c r="C658">
        <v>26</v>
      </c>
      <c r="D658" t="s">
        <v>13</v>
      </c>
      <c r="E658" t="s">
        <v>49</v>
      </c>
      <c r="F658" t="s">
        <v>28</v>
      </c>
      <c r="G658" s="1">
        <v>45949</v>
      </c>
      <c r="H658" s="1">
        <v>45961</v>
      </c>
      <c r="I658" s="1" t="str">
        <f>TEXT(Table1[[#This Row],[Admission Date]],"MMMM")</f>
        <v>October</v>
      </c>
      <c r="J658">
        <v>12</v>
      </c>
      <c r="K658">
        <v>56604</v>
      </c>
    </row>
    <row r="659" spans="1:11" x14ac:dyDescent="0.3">
      <c r="A659" t="s">
        <v>836</v>
      </c>
      <c r="B659" t="s">
        <v>248</v>
      </c>
      <c r="C659">
        <v>2</v>
      </c>
      <c r="D659" t="s">
        <v>13</v>
      </c>
      <c r="E659" t="s">
        <v>19</v>
      </c>
      <c r="F659" t="s">
        <v>60</v>
      </c>
      <c r="G659" s="1">
        <v>45784</v>
      </c>
      <c r="H659" s="1">
        <v>45786</v>
      </c>
      <c r="I659" s="1" t="str">
        <f>TEXT(Table1[[#This Row],[Admission Date]],"MMMM")</f>
        <v>May</v>
      </c>
      <c r="J659">
        <v>2</v>
      </c>
      <c r="K659">
        <v>14714</v>
      </c>
    </row>
    <row r="660" spans="1:11" x14ac:dyDescent="0.3">
      <c r="A660" t="s">
        <v>837</v>
      </c>
      <c r="B660" t="s">
        <v>128</v>
      </c>
      <c r="C660">
        <v>79</v>
      </c>
      <c r="D660" t="s">
        <v>13</v>
      </c>
      <c r="E660" t="s">
        <v>34</v>
      </c>
      <c r="F660" t="s">
        <v>63</v>
      </c>
      <c r="G660" s="1">
        <v>45834</v>
      </c>
      <c r="H660" s="1">
        <v>45842</v>
      </c>
      <c r="I660" s="1" t="str">
        <f>TEXT(Table1[[#This Row],[Admission Date]],"MMMM")</f>
        <v>June</v>
      </c>
      <c r="J660">
        <v>8</v>
      </c>
      <c r="K660">
        <v>77392</v>
      </c>
    </row>
    <row r="661" spans="1:11" x14ac:dyDescent="0.3">
      <c r="A661" t="s">
        <v>838</v>
      </c>
      <c r="B661" t="s">
        <v>367</v>
      </c>
      <c r="C661">
        <v>15</v>
      </c>
      <c r="D661" t="s">
        <v>18</v>
      </c>
      <c r="E661" t="s">
        <v>34</v>
      </c>
      <c r="F661" t="s">
        <v>43</v>
      </c>
      <c r="G661" s="1">
        <v>45678</v>
      </c>
      <c r="H661" s="1">
        <v>45684</v>
      </c>
      <c r="I661" s="1" t="str">
        <f>TEXT(Table1[[#This Row],[Admission Date]],"MMMM")</f>
        <v>January</v>
      </c>
      <c r="J661">
        <v>6</v>
      </c>
      <c r="K661">
        <v>45516</v>
      </c>
    </row>
    <row r="662" spans="1:11" x14ac:dyDescent="0.3">
      <c r="A662" t="s">
        <v>839</v>
      </c>
      <c r="B662" t="s">
        <v>246</v>
      </c>
      <c r="C662">
        <v>73</v>
      </c>
      <c r="D662" t="s">
        <v>13</v>
      </c>
      <c r="E662" t="s">
        <v>19</v>
      </c>
      <c r="F662" t="s">
        <v>28</v>
      </c>
      <c r="G662" s="1">
        <v>46000</v>
      </c>
      <c r="H662" s="1">
        <v>46009</v>
      </c>
      <c r="I662" s="1" t="str">
        <f>TEXT(Table1[[#This Row],[Admission Date]],"MMMM")</f>
        <v>December</v>
      </c>
      <c r="J662">
        <v>9</v>
      </c>
      <c r="K662">
        <v>48735</v>
      </c>
    </row>
    <row r="663" spans="1:11" x14ac:dyDescent="0.3">
      <c r="A663" t="s">
        <v>840</v>
      </c>
      <c r="B663" t="s">
        <v>713</v>
      </c>
      <c r="C663">
        <v>25</v>
      </c>
      <c r="D663" t="s">
        <v>18</v>
      </c>
      <c r="E663" t="s">
        <v>31</v>
      </c>
      <c r="F663" t="s">
        <v>35</v>
      </c>
      <c r="G663" s="1">
        <v>45917</v>
      </c>
      <c r="H663" s="1">
        <v>45923</v>
      </c>
      <c r="I663" s="1" t="str">
        <f>TEXT(Table1[[#This Row],[Admission Date]],"MMMM")</f>
        <v>September</v>
      </c>
      <c r="J663">
        <v>6</v>
      </c>
      <c r="K663">
        <v>30294</v>
      </c>
    </row>
    <row r="664" spans="1:11" x14ac:dyDescent="0.3">
      <c r="A664" t="s">
        <v>841</v>
      </c>
      <c r="B664" t="s">
        <v>179</v>
      </c>
      <c r="C664">
        <v>2</v>
      </c>
      <c r="D664" t="s">
        <v>13</v>
      </c>
      <c r="E664" t="s">
        <v>49</v>
      </c>
      <c r="F664" t="s">
        <v>28</v>
      </c>
      <c r="G664" s="1">
        <v>45848</v>
      </c>
      <c r="H664" s="1">
        <v>45862</v>
      </c>
      <c r="I664" s="1" t="str">
        <f>TEXT(Table1[[#This Row],[Admission Date]],"MMMM")</f>
        <v>July</v>
      </c>
      <c r="J664">
        <v>14</v>
      </c>
      <c r="K664">
        <v>77826</v>
      </c>
    </row>
    <row r="665" spans="1:11" x14ac:dyDescent="0.3">
      <c r="A665" t="s">
        <v>842</v>
      </c>
      <c r="B665" t="s">
        <v>177</v>
      </c>
      <c r="C665">
        <v>28</v>
      </c>
      <c r="D665" t="s">
        <v>18</v>
      </c>
      <c r="E665" t="s">
        <v>31</v>
      </c>
      <c r="F665" t="s">
        <v>43</v>
      </c>
      <c r="G665" s="1">
        <v>45921</v>
      </c>
      <c r="H665" s="1">
        <v>45923</v>
      </c>
      <c r="I665" s="1" t="str">
        <f>TEXT(Table1[[#This Row],[Admission Date]],"MMMM")</f>
        <v>September</v>
      </c>
      <c r="J665">
        <v>2</v>
      </c>
      <c r="K665">
        <v>12586</v>
      </c>
    </row>
    <row r="666" spans="1:11" x14ac:dyDescent="0.3">
      <c r="A666" t="s">
        <v>843</v>
      </c>
      <c r="B666" t="s">
        <v>135</v>
      </c>
      <c r="C666">
        <v>87</v>
      </c>
      <c r="D666" t="s">
        <v>18</v>
      </c>
      <c r="E666" t="s">
        <v>31</v>
      </c>
      <c r="F666" t="s">
        <v>20</v>
      </c>
      <c r="G666" s="1">
        <v>45704</v>
      </c>
      <c r="H666" s="1">
        <v>45716</v>
      </c>
      <c r="I666" s="1" t="str">
        <f>TEXT(Table1[[#This Row],[Admission Date]],"MMMM")</f>
        <v>February</v>
      </c>
      <c r="J666">
        <v>12</v>
      </c>
      <c r="K666">
        <v>49728</v>
      </c>
    </row>
    <row r="667" spans="1:11" x14ac:dyDescent="0.3">
      <c r="A667" t="s">
        <v>844</v>
      </c>
      <c r="B667" t="s">
        <v>94</v>
      </c>
      <c r="C667">
        <v>12</v>
      </c>
      <c r="D667" t="s">
        <v>13</v>
      </c>
      <c r="E667" t="s">
        <v>34</v>
      </c>
      <c r="F667" t="s">
        <v>60</v>
      </c>
      <c r="G667" s="1">
        <v>46010</v>
      </c>
      <c r="H667" s="1">
        <v>46018</v>
      </c>
      <c r="I667" s="1" t="str">
        <f>TEXT(Table1[[#This Row],[Admission Date]],"MMMM")</f>
        <v>December</v>
      </c>
      <c r="J667">
        <v>8</v>
      </c>
      <c r="K667">
        <v>52080</v>
      </c>
    </row>
    <row r="668" spans="1:11" x14ac:dyDescent="0.3">
      <c r="A668" t="s">
        <v>845</v>
      </c>
      <c r="B668" t="s">
        <v>208</v>
      </c>
      <c r="C668">
        <v>77</v>
      </c>
      <c r="D668" t="s">
        <v>18</v>
      </c>
      <c r="E668" t="s">
        <v>103</v>
      </c>
      <c r="F668" t="s">
        <v>35</v>
      </c>
      <c r="G668" s="1">
        <v>45681</v>
      </c>
      <c r="H668" s="1">
        <v>45689</v>
      </c>
      <c r="I668" s="1" t="str">
        <f>TEXT(Table1[[#This Row],[Admission Date]],"MMMM")</f>
        <v>January</v>
      </c>
      <c r="J668">
        <v>8</v>
      </c>
      <c r="K668">
        <v>34048</v>
      </c>
    </row>
    <row r="669" spans="1:11" x14ac:dyDescent="0.3">
      <c r="A669" t="s">
        <v>846</v>
      </c>
      <c r="B669" t="s">
        <v>177</v>
      </c>
      <c r="C669">
        <v>40</v>
      </c>
      <c r="D669" t="s">
        <v>18</v>
      </c>
      <c r="E669" t="s">
        <v>40</v>
      </c>
      <c r="F669" t="s">
        <v>63</v>
      </c>
      <c r="G669" s="1">
        <v>45799</v>
      </c>
      <c r="H669" s="1">
        <v>45814</v>
      </c>
      <c r="I669" s="1" t="str">
        <f>TEXT(Table1[[#This Row],[Admission Date]],"MMMM")</f>
        <v>May</v>
      </c>
      <c r="J669">
        <v>15</v>
      </c>
      <c r="K669">
        <v>137565</v>
      </c>
    </row>
    <row r="670" spans="1:11" x14ac:dyDescent="0.3">
      <c r="A670" t="s">
        <v>847</v>
      </c>
      <c r="B670" t="s">
        <v>683</v>
      </c>
      <c r="C670">
        <v>9</v>
      </c>
      <c r="D670" t="s">
        <v>13</v>
      </c>
      <c r="E670" t="s">
        <v>46</v>
      </c>
      <c r="F670" t="s">
        <v>20</v>
      </c>
      <c r="G670" s="1">
        <v>45776</v>
      </c>
      <c r="H670" s="1">
        <v>45782</v>
      </c>
      <c r="I670" s="1" t="str">
        <f>TEXT(Table1[[#This Row],[Admission Date]],"MMMM")</f>
        <v>April</v>
      </c>
      <c r="J670">
        <v>6</v>
      </c>
      <c r="K670">
        <v>50430</v>
      </c>
    </row>
    <row r="671" spans="1:11" x14ac:dyDescent="0.3">
      <c r="A671" t="s">
        <v>848</v>
      </c>
      <c r="B671" t="s">
        <v>326</v>
      </c>
      <c r="C671">
        <v>39</v>
      </c>
      <c r="D671" t="s">
        <v>13</v>
      </c>
      <c r="E671" t="s">
        <v>49</v>
      </c>
      <c r="F671" t="s">
        <v>28</v>
      </c>
      <c r="G671" s="1">
        <v>45846</v>
      </c>
      <c r="H671" s="1">
        <v>45856</v>
      </c>
      <c r="I671" s="1" t="str">
        <f>TEXT(Table1[[#This Row],[Admission Date]],"MMMM")</f>
        <v>July</v>
      </c>
      <c r="J671">
        <v>10</v>
      </c>
      <c r="K671">
        <v>78910</v>
      </c>
    </row>
    <row r="672" spans="1:11" x14ac:dyDescent="0.3">
      <c r="A672" t="s">
        <v>849</v>
      </c>
      <c r="B672" t="s">
        <v>376</v>
      </c>
      <c r="C672">
        <v>14</v>
      </c>
      <c r="D672" t="s">
        <v>18</v>
      </c>
      <c r="E672" t="s">
        <v>103</v>
      </c>
      <c r="F672" t="s">
        <v>43</v>
      </c>
      <c r="G672" s="1">
        <v>45899</v>
      </c>
      <c r="H672" s="1">
        <v>45904</v>
      </c>
      <c r="I672" s="1" t="str">
        <f>TEXT(Table1[[#This Row],[Admission Date]],"MMMM")</f>
        <v>August</v>
      </c>
      <c r="J672">
        <v>5</v>
      </c>
      <c r="K672">
        <v>34920</v>
      </c>
    </row>
    <row r="673" spans="1:11" x14ac:dyDescent="0.3">
      <c r="A673" t="s">
        <v>850</v>
      </c>
      <c r="B673" t="s">
        <v>69</v>
      </c>
      <c r="C673">
        <v>34</v>
      </c>
      <c r="D673" t="s">
        <v>13</v>
      </c>
      <c r="E673" t="s">
        <v>31</v>
      </c>
      <c r="F673" t="s">
        <v>24</v>
      </c>
      <c r="G673" s="1">
        <v>45868</v>
      </c>
      <c r="H673" s="1">
        <v>45880</v>
      </c>
      <c r="I673" s="1" t="str">
        <f>TEXT(Table1[[#This Row],[Admission Date]],"MMMM")</f>
        <v>July</v>
      </c>
      <c r="J673">
        <v>12</v>
      </c>
      <c r="K673">
        <v>93804</v>
      </c>
    </row>
    <row r="674" spans="1:11" x14ac:dyDescent="0.3">
      <c r="A674" t="s">
        <v>851</v>
      </c>
      <c r="B674" t="s">
        <v>208</v>
      </c>
      <c r="C674">
        <v>34</v>
      </c>
      <c r="D674" t="s">
        <v>18</v>
      </c>
      <c r="E674" t="s">
        <v>14</v>
      </c>
      <c r="F674" t="s">
        <v>60</v>
      </c>
      <c r="G674" s="1">
        <v>45682</v>
      </c>
      <c r="H674" s="1">
        <v>45690</v>
      </c>
      <c r="I674" s="1" t="str">
        <f>TEXT(Table1[[#This Row],[Admission Date]],"MMMM")</f>
        <v>January</v>
      </c>
      <c r="J674">
        <v>8</v>
      </c>
      <c r="K674">
        <v>49032</v>
      </c>
    </row>
    <row r="675" spans="1:11" x14ac:dyDescent="0.3">
      <c r="A675" t="s">
        <v>852</v>
      </c>
      <c r="B675" t="s">
        <v>323</v>
      </c>
      <c r="C675">
        <v>31</v>
      </c>
      <c r="D675" t="s">
        <v>13</v>
      </c>
      <c r="E675" t="s">
        <v>34</v>
      </c>
      <c r="F675" t="s">
        <v>24</v>
      </c>
      <c r="G675" s="1">
        <v>46010</v>
      </c>
      <c r="H675" s="1">
        <v>46012</v>
      </c>
      <c r="I675" s="1" t="str">
        <f>TEXT(Table1[[#This Row],[Admission Date]],"MMMM")</f>
        <v>December</v>
      </c>
      <c r="J675">
        <v>2</v>
      </c>
      <c r="K675">
        <v>12054</v>
      </c>
    </row>
    <row r="676" spans="1:11" x14ac:dyDescent="0.3">
      <c r="A676" t="s">
        <v>853</v>
      </c>
      <c r="B676" t="s">
        <v>12</v>
      </c>
      <c r="C676">
        <v>89</v>
      </c>
      <c r="D676" t="s">
        <v>13</v>
      </c>
      <c r="E676" t="s">
        <v>103</v>
      </c>
      <c r="F676" t="s">
        <v>24</v>
      </c>
      <c r="G676" s="1">
        <v>45904</v>
      </c>
      <c r="H676" s="1">
        <v>45915</v>
      </c>
      <c r="I676" s="1" t="str">
        <f>TEXT(Table1[[#This Row],[Admission Date]],"MMMM")</f>
        <v>September</v>
      </c>
      <c r="J676">
        <v>11</v>
      </c>
      <c r="K676">
        <v>130559</v>
      </c>
    </row>
    <row r="677" spans="1:11" x14ac:dyDescent="0.3">
      <c r="A677" t="s">
        <v>854</v>
      </c>
      <c r="B677" t="s">
        <v>108</v>
      </c>
      <c r="C677">
        <v>51</v>
      </c>
      <c r="D677" t="s">
        <v>13</v>
      </c>
      <c r="E677" t="s">
        <v>14</v>
      </c>
      <c r="F677" t="s">
        <v>28</v>
      </c>
      <c r="G677" s="1">
        <v>45970</v>
      </c>
      <c r="H677" s="1">
        <v>45977</v>
      </c>
      <c r="I677" s="1" t="str">
        <f>TEXT(Table1[[#This Row],[Admission Date]],"MMMM")</f>
        <v>November</v>
      </c>
      <c r="J677">
        <v>7</v>
      </c>
      <c r="K677">
        <v>67872</v>
      </c>
    </row>
    <row r="678" spans="1:11" x14ac:dyDescent="0.3">
      <c r="A678" t="s">
        <v>855</v>
      </c>
      <c r="B678" t="s">
        <v>616</v>
      </c>
      <c r="C678">
        <v>46</v>
      </c>
      <c r="D678" t="s">
        <v>13</v>
      </c>
      <c r="E678" t="s">
        <v>34</v>
      </c>
      <c r="F678" t="s">
        <v>43</v>
      </c>
      <c r="G678" s="1">
        <v>45710</v>
      </c>
      <c r="H678" s="1">
        <v>45712</v>
      </c>
      <c r="I678" s="1" t="str">
        <f>TEXT(Table1[[#This Row],[Admission Date]],"MMMM")</f>
        <v>February</v>
      </c>
      <c r="J678">
        <v>2</v>
      </c>
      <c r="K678">
        <v>20624</v>
      </c>
    </row>
    <row r="679" spans="1:11" x14ac:dyDescent="0.3">
      <c r="A679" t="s">
        <v>856</v>
      </c>
      <c r="B679" t="s">
        <v>210</v>
      </c>
      <c r="C679">
        <v>7</v>
      </c>
      <c r="D679" t="s">
        <v>18</v>
      </c>
      <c r="E679" t="s">
        <v>103</v>
      </c>
      <c r="F679" t="s">
        <v>60</v>
      </c>
      <c r="G679" s="1">
        <v>45809</v>
      </c>
      <c r="H679" s="1">
        <v>45822</v>
      </c>
      <c r="I679" s="1" t="str">
        <f>TEXT(Table1[[#This Row],[Admission Date]],"MMMM")</f>
        <v>June</v>
      </c>
      <c r="J679">
        <v>13</v>
      </c>
      <c r="K679">
        <v>119548</v>
      </c>
    </row>
    <row r="680" spans="1:11" x14ac:dyDescent="0.3">
      <c r="A680" t="s">
        <v>857</v>
      </c>
      <c r="B680" t="s">
        <v>200</v>
      </c>
      <c r="C680">
        <v>65</v>
      </c>
      <c r="D680" t="s">
        <v>13</v>
      </c>
      <c r="E680" t="s">
        <v>31</v>
      </c>
      <c r="F680" t="s">
        <v>24</v>
      </c>
      <c r="G680" s="1">
        <v>45676</v>
      </c>
      <c r="H680" s="1">
        <v>45688</v>
      </c>
      <c r="I680" s="1" t="str">
        <f>TEXT(Table1[[#This Row],[Admission Date]],"MMMM")</f>
        <v>January</v>
      </c>
      <c r="J680">
        <v>12</v>
      </c>
      <c r="K680">
        <v>76572</v>
      </c>
    </row>
    <row r="681" spans="1:11" x14ac:dyDescent="0.3">
      <c r="A681" t="s">
        <v>858</v>
      </c>
      <c r="B681" t="s">
        <v>248</v>
      </c>
      <c r="C681">
        <v>3</v>
      </c>
      <c r="D681" t="s">
        <v>13</v>
      </c>
      <c r="E681" t="s">
        <v>23</v>
      </c>
      <c r="F681" t="s">
        <v>35</v>
      </c>
      <c r="G681" s="1">
        <v>45676</v>
      </c>
      <c r="H681" s="1">
        <v>45681</v>
      </c>
      <c r="I681" s="1" t="str">
        <f>TEXT(Table1[[#This Row],[Admission Date]],"MMMM")</f>
        <v>January</v>
      </c>
      <c r="J681">
        <v>5</v>
      </c>
      <c r="K681">
        <v>52675</v>
      </c>
    </row>
    <row r="682" spans="1:11" x14ac:dyDescent="0.3">
      <c r="A682" t="s">
        <v>859</v>
      </c>
      <c r="B682" t="s">
        <v>110</v>
      </c>
      <c r="C682">
        <v>27</v>
      </c>
      <c r="D682" t="s">
        <v>13</v>
      </c>
      <c r="E682" t="s">
        <v>49</v>
      </c>
      <c r="F682" t="s">
        <v>24</v>
      </c>
      <c r="G682" s="1">
        <v>45996</v>
      </c>
      <c r="H682" s="1">
        <v>46009</v>
      </c>
      <c r="I682" s="1" t="str">
        <f>TEXT(Table1[[#This Row],[Admission Date]],"MMMM")</f>
        <v>December</v>
      </c>
      <c r="J682">
        <v>13</v>
      </c>
      <c r="K682">
        <v>155922</v>
      </c>
    </row>
    <row r="683" spans="1:11" x14ac:dyDescent="0.3">
      <c r="A683" t="s">
        <v>860</v>
      </c>
      <c r="B683" t="s">
        <v>427</v>
      </c>
      <c r="C683">
        <v>70</v>
      </c>
      <c r="D683" t="s">
        <v>13</v>
      </c>
      <c r="E683" t="s">
        <v>23</v>
      </c>
      <c r="F683" t="s">
        <v>60</v>
      </c>
      <c r="G683" s="1">
        <v>45918</v>
      </c>
      <c r="H683" s="1">
        <v>45929</v>
      </c>
      <c r="I683" s="1" t="str">
        <f>TEXT(Table1[[#This Row],[Admission Date]],"MMMM")</f>
        <v>September</v>
      </c>
      <c r="J683">
        <v>11</v>
      </c>
      <c r="K683">
        <v>60830</v>
      </c>
    </row>
    <row r="684" spans="1:11" x14ac:dyDescent="0.3">
      <c r="A684" t="s">
        <v>861</v>
      </c>
      <c r="B684" t="s">
        <v>691</v>
      </c>
      <c r="C684">
        <v>79</v>
      </c>
      <c r="D684" t="s">
        <v>18</v>
      </c>
      <c r="E684" t="s">
        <v>34</v>
      </c>
      <c r="F684" t="s">
        <v>15</v>
      </c>
      <c r="G684" s="1">
        <v>45952</v>
      </c>
      <c r="H684" s="1">
        <v>45961</v>
      </c>
      <c r="I684" s="1" t="str">
        <f>TEXT(Table1[[#This Row],[Admission Date]],"MMMM")</f>
        <v>October</v>
      </c>
      <c r="J684">
        <v>9</v>
      </c>
      <c r="K684">
        <v>36279</v>
      </c>
    </row>
    <row r="685" spans="1:11" x14ac:dyDescent="0.3">
      <c r="A685" t="s">
        <v>862</v>
      </c>
      <c r="B685" t="s">
        <v>117</v>
      </c>
      <c r="C685">
        <v>64</v>
      </c>
      <c r="D685" t="s">
        <v>18</v>
      </c>
      <c r="E685" t="s">
        <v>23</v>
      </c>
      <c r="F685" t="s">
        <v>35</v>
      </c>
      <c r="G685" s="1">
        <v>45893</v>
      </c>
      <c r="H685" s="1">
        <v>45902</v>
      </c>
      <c r="I685" s="1" t="str">
        <f>TEXT(Table1[[#This Row],[Admission Date]],"MMMM")</f>
        <v>August</v>
      </c>
      <c r="J685">
        <v>9</v>
      </c>
      <c r="K685">
        <v>75942</v>
      </c>
    </row>
    <row r="686" spans="1:11" x14ac:dyDescent="0.3">
      <c r="A686" t="s">
        <v>863</v>
      </c>
      <c r="B686" t="s">
        <v>133</v>
      </c>
      <c r="C686">
        <v>40</v>
      </c>
      <c r="D686" t="s">
        <v>18</v>
      </c>
      <c r="E686" t="s">
        <v>34</v>
      </c>
      <c r="F686" t="s">
        <v>15</v>
      </c>
      <c r="G686" s="1">
        <v>45930</v>
      </c>
      <c r="H686" s="1">
        <v>45939</v>
      </c>
      <c r="I686" s="1" t="str">
        <f>TEXT(Table1[[#This Row],[Admission Date]],"MMMM")</f>
        <v>September</v>
      </c>
      <c r="J686">
        <v>9</v>
      </c>
      <c r="K686">
        <v>51435</v>
      </c>
    </row>
    <row r="687" spans="1:11" x14ac:dyDescent="0.3">
      <c r="A687" t="s">
        <v>864</v>
      </c>
      <c r="B687" t="s">
        <v>75</v>
      </c>
      <c r="C687">
        <v>17</v>
      </c>
      <c r="D687" t="s">
        <v>18</v>
      </c>
      <c r="E687" t="s">
        <v>103</v>
      </c>
      <c r="F687" t="s">
        <v>60</v>
      </c>
      <c r="G687" s="1">
        <v>45683</v>
      </c>
      <c r="H687" s="1">
        <v>45688</v>
      </c>
      <c r="I687" s="1" t="str">
        <f>TEXT(Table1[[#This Row],[Admission Date]],"MMMM")</f>
        <v>January</v>
      </c>
      <c r="J687">
        <v>5</v>
      </c>
      <c r="K687">
        <v>22540</v>
      </c>
    </row>
    <row r="688" spans="1:11" x14ac:dyDescent="0.3">
      <c r="A688" t="s">
        <v>865</v>
      </c>
      <c r="B688" t="s">
        <v>42</v>
      </c>
      <c r="C688">
        <v>79</v>
      </c>
      <c r="D688" t="s">
        <v>13</v>
      </c>
      <c r="E688" t="s">
        <v>46</v>
      </c>
      <c r="F688" t="s">
        <v>63</v>
      </c>
      <c r="G688" s="1">
        <v>46001</v>
      </c>
      <c r="H688" s="1">
        <v>46009</v>
      </c>
      <c r="I688" s="1" t="str">
        <f>TEXT(Table1[[#This Row],[Admission Date]],"MMMM")</f>
        <v>December</v>
      </c>
      <c r="J688">
        <v>8</v>
      </c>
      <c r="K688">
        <v>76856</v>
      </c>
    </row>
    <row r="689" spans="1:11" x14ac:dyDescent="0.3">
      <c r="A689" t="s">
        <v>866</v>
      </c>
      <c r="B689" t="s">
        <v>67</v>
      </c>
      <c r="C689">
        <v>70</v>
      </c>
      <c r="D689" t="s">
        <v>18</v>
      </c>
      <c r="E689" t="s">
        <v>23</v>
      </c>
      <c r="F689" t="s">
        <v>60</v>
      </c>
      <c r="G689" s="1">
        <v>45841</v>
      </c>
      <c r="H689" s="1">
        <v>45846</v>
      </c>
      <c r="I689" s="1" t="str">
        <f>TEXT(Table1[[#This Row],[Admission Date]],"MMMM")</f>
        <v>July</v>
      </c>
      <c r="J689">
        <v>5</v>
      </c>
      <c r="K689">
        <v>39915</v>
      </c>
    </row>
    <row r="690" spans="1:11" x14ac:dyDescent="0.3">
      <c r="A690" t="s">
        <v>867</v>
      </c>
      <c r="B690" t="s">
        <v>468</v>
      </c>
      <c r="C690">
        <v>29</v>
      </c>
      <c r="D690" t="s">
        <v>18</v>
      </c>
      <c r="E690" t="s">
        <v>40</v>
      </c>
      <c r="F690" t="s">
        <v>63</v>
      </c>
      <c r="G690" s="1">
        <v>45787</v>
      </c>
      <c r="H690" s="1">
        <v>45795</v>
      </c>
      <c r="I690" s="1" t="str">
        <f>TEXT(Table1[[#This Row],[Admission Date]],"MMMM")</f>
        <v>May</v>
      </c>
      <c r="J690">
        <v>8</v>
      </c>
      <c r="K690">
        <v>56720</v>
      </c>
    </row>
    <row r="691" spans="1:11" x14ac:dyDescent="0.3">
      <c r="A691" t="s">
        <v>868</v>
      </c>
      <c r="B691" t="s">
        <v>115</v>
      </c>
      <c r="C691">
        <v>66</v>
      </c>
      <c r="D691" t="s">
        <v>18</v>
      </c>
      <c r="E691" t="s">
        <v>49</v>
      </c>
      <c r="F691" t="s">
        <v>43</v>
      </c>
      <c r="G691" s="1">
        <v>45766</v>
      </c>
      <c r="H691" s="1">
        <v>45779</v>
      </c>
      <c r="I691" s="1" t="str">
        <f>TEXT(Table1[[#This Row],[Admission Date]],"MMMM")</f>
        <v>April</v>
      </c>
      <c r="J691">
        <v>13</v>
      </c>
      <c r="K691">
        <v>135473</v>
      </c>
    </row>
    <row r="692" spans="1:11" x14ac:dyDescent="0.3">
      <c r="A692" t="s">
        <v>869</v>
      </c>
      <c r="B692" t="s">
        <v>182</v>
      </c>
      <c r="C692">
        <v>16</v>
      </c>
      <c r="D692" t="s">
        <v>18</v>
      </c>
      <c r="E692" t="s">
        <v>46</v>
      </c>
      <c r="F692" t="s">
        <v>24</v>
      </c>
      <c r="G692" s="1">
        <v>45768</v>
      </c>
      <c r="H692" s="1">
        <v>45778</v>
      </c>
      <c r="I692" s="1" t="str">
        <f>TEXT(Table1[[#This Row],[Admission Date]],"MMMM")</f>
        <v>April</v>
      </c>
      <c r="J692">
        <v>10</v>
      </c>
      <c r="K692">
        <v>81250</v>
      </c>
    </row>
    <row r="693" spans="1:11" x14ac:dyDescent="0.3">
      <c r="A693" t="s">
        <v>870</v>
      </c>
      <c r="B693" t="s">
        <v>420</v>
      </c>
      <c r="C693">
        <v>37</v>
      </c>
      <c r="D693" t="s">
        <v>18</v>
      </c>
      <c r="E693" t="s">
        <v>40</v>
      </c>
      <c r="F693" t="s">
        <v>15</v>
      </c>
      <c r="G693" s="1">
        <v>45751</v>
      </c>
      <c r="H693" s="1">
        <v>45755</v>
      </c>
      <c r="I693" s="1" t="str">
        <f>TEXT(Table1[[#This Row],[Admission Date]],"MMMM")</f>
        <v>April</v>
      </c>
      <c r="J693">
        <v>4</v>
      </c>
      <c r="K693">
        <v>39000</v>
      </c>
    </row>
    <row r="694" spans="1:11" x14ac:dyDescent="0.3">
      <c r="A694" t="s">
        <v>871</v>
      </c>
      <c r="B694" t="s">
        <v>157</v>
      </c>
      <c r="C694">
        <v>39</v>
      </c>
      <c r="D694" t="s">
        <v>13</v>
      </c>
      <c r="E694" t="s">
        <v>19</v>
      </c>
      <c r="F694" t="s">
        <v>35</v>
      </c>
      <c r="G694" s="1">
        <v>45783</v>
      </c>
      <c r="H694" s="1">
        <v>45787</v>
      </c>
      <c r="I694" s="1" t="str">
        <f>TEXT(Table1[[#This Row],[Admission Date]],"MMMM")</f>
        <v>May</v>
      </c>
      <c r="J694">
        <v>4</v>
      </c>
      <c r="K694">
        <v>30696</v>
      </c>
    </row>
    <row r="695" spans="1:11" x14ac:dyDescent="0.3">
      <c r="A695" t="s">
        <v>872</v>
      </c>
      <c r="B695" t="s">
        <v>372</v>
      </c>
      <c r="C695">
        <v>49</v>
      </c>
      <c r="D695" t="s">
        <v>13</v>
      </c>
      <c r="E695" t="s">
        <v>19</v>
      </c>
      <c r="F695" t="s">
        <v>60</v>
      </c>
      <c r="G695" s="1">
        <v>45810</v>
      </c>
      <c r="H695" s="1">
        <v>45816</v>
      </c>
      <c r="I695" s="1" t="str">
        <f>TEXT(Table1[[#This Row],[Admission Date]],"MMMM")</f>
        <v>June</v>
      </c>
      <c r="J695">
        <v>6</v>
      </c>
      <c r="K695">
        <v>40644</v>
      </c>
    </row>
    <row r="696" spans="1:11" x14ac:dyDescent="0.3">
      <c r="A696" t="s">
        <v>873</v>
      </c>
      <c r="B696" t="s">
        <v>760</v>
      </c>
      <c r="C696">
        <v>63</v>
      </c>
      <c r="D696" t="s">
        <v>18</v>
      </c>
      <c r="E696" t="s">
        <v>19</v>
      </c>
      <c r="F696" t="s">
        <v>28</v>
      </c>
      <c r="G696" s="1">
        <v>45797</v>
      </c>
      <c r="H696" s="1">
        <v>45803</v>
      </c>
      <c r="I696" s="1" t="str">
        <f>TEXT(Table1[[#This Row],[Admission Date]],"MMMM")</f>
        <v>May</v>
      </c>
      <c r="J696">
        <v>6</v>
      </c>
      <c r="K696">
        <v>45210</v>
      </c>
    </row>
    <row r="697" spans="1:11" x14ac:dyDescent="0.3">
      <c r="A697" t="s">
        <v>874</v>
      </c>
      <c r="B697" t="s">
        <v>302</v>
      </c>
      <c r="C697">
        <v>12</v>
      </c>
      <c r="D697" t="s">
        <v>18</v>
      </c>
      <c r="E697" t="s">
        <v>49</v>
      </c>
      <c r="F697" t="s">
        <v>60</v>
      </c>
      <c r="G697" s="1">
        <v>45919</v>
      </c>
      <c r="H697" s="1">
        <v>45932</v>
      </c>
      <c r="I697" s="1" t="str">
        <f>TEXT(Table1[[#This Row],[Admission Date]],"MMMM")</f>
        <v>September</v>
      </c>
      <c r="J697">
        <v>13</v>
      </c>
      <c r="K697">
        <v>85098</v>
      </c>
    </row>
    <row r="698" spans="1:11" x14ac:dyDescent="0.3">
      <c r="A698" t="s">
        <v>875</v>
      </c>
      <c r="B698" t="s">
        <v>48</v>
      </c>
      <c r="C698">
        <v>66</v>
      </c>
      <c r="D698" t="s">
        <v>13</v>
      </c>
      <c r="E698" t="s">
        <v>23</v>
      </c>
      <c r="F698" t="s">
        <v>15</v>
      </c>
      <c r="G698" s="1">
        <v>45943</v>
      </c>
      <c r="H698" s="1">
        <v>45946</v>
      </c>
      <c r="I698" s="1" t="str">
        <f>TEXT(Table1[[#This Row],[Admission Date]],"MMMM")</f>
        <v>October</v>
      </c>
      <c r="J698">
        <v>3</v>
      </c>
      <c r="K698">
        <v>17523</v>
      </c>
    </row>
    <row r="699" spans="1:11" x14ac:dyDescent="0.3">
      <c r="A699" t="s">
        <v>876</v>
      </c>
      <c r="B699" t="s">
        <v>208</v>
      </c>
      <c r="C699">
        <v>55</v>
      </c>
      <c r="D699" t="s">
        <v>13</v>
      </c>
      <c r="E699" t="s">
        <v>31</v>
      </c>
      <c r="F699" t="s">
        <v>24</v>
      </c>
      <c r="G699" s="1">
        <v>45859</v>
      </c>
      <c r="H699" s="1">
        <v>45860</v>
      </c>
      <c r="I699" s="1" t="str">
        <f>TEXT(Table1[[#This Row],[Admission Date]],"MMMM")</f>
        <v>July</v>
      </c>
      <c r="J699">
        <v>1</v>
      </c>
      <c r="K699">
        <v>10280</v>
      </c>
    </row>
    <row r="700" spans="1:11" x14ac:dyDescent="0.3">
      <c r="A700" t="s">
        <v>877</v>
      </c>
      <c r="B700" t="s">
        <v>344</v>
      </c>
      <c r="C700">
        <v>47</v>
      </c>
      <c r="D700" t="s">
        <v>18</v>
      </c>
      <c r="E700" t="s">
        <v>40</v>
      </c>
      <c r="F700" t="s">
        <v>63</v>
      </c>
      <c r="G700" s="1">
        <v>45876</v>
      </c>
      <c r="H700" s="1">
        <v>45889</v>
      </c>
      <c r="I700" s="1" t="str">
        <f>TEXT(Table1[[#This Row],[Admission Date]],"MMMM")</f>
        <v>August</v>
      </c>
      <c r="J700">
        <v>13</v>
      </c>
      <c r="K700">
        <v>147849</v>
      </c>
    </row>
    <row r="701" spans="1:11" x14ac:dyDescent="0.3">
      <c r="A701" t="s">
        <v>878</v>
      </c>
      <c r="B701" t="s">
        <v>119</v>
      </c>
      <c r="C701">
        <v>73</v>
      </c>
      <c r="D701" t="s">
        <v>18</v>
      </c>
      <c r="E701" t="s">
        <v>27</v>
      </c>
      <c r="F701" t="s">
        <v>43</v>
      </c>
      <c r="G701" s="1">
        <v>45964</v>
      </c>
      <c r="H701" s="1">
        <v>45974</v>
      </c>
      <c r="I701" s="1" t="str">
        <f>TEXT(Table1[[#This Row],[Admission Date]],"MMMM")</f>
        <v>November</v>
      </c>
      <c r="J701">
        <v>10</v>
      </c>
      <c r="K701">
        <v>103930</v>
      </c>
    </row>
    <row r="702" spans="1:11" x14ac:dyDescent="0.3">
      <c r="A702" t="s">
        <v>879</v>
      </c>
      <c r="B702" t="s">
        <v>39</v>
      </c>
      <c r="C702">
        <v>86</v>
      </c>
      <c r="D702" t="s">
        <v>13</v>
      </c>
      <c r="E702" t="s">
        <v>14</v>
      </c>
      <c r="F702" t="s">
        <v>28</v>
      </c>
      <c r="G702" s="1">
        <v>45809</v>
      </c>
      <c r="H702" s="1">
        <v>45810</v>
      </c>
      <c r="I702" s="1" t="str">
        <f>TEXT(Table1[[#This Row],[Admission Date]],"MMMM")</f>
        <v>June</v>
      </c>
      <c r="J702">
        <v>1</v>
      </c>
      <c r="K702">
        <v>10724</v>
      </c>
    </row>
    <row r="703" spans="1:11" x14ac:dyDescent="0.3">
      <c r="A703" t="s">
        <v>880</v>
      </c>
      <c r="B703" t="s">
        <v>284</v>
      </c>
      <c r="C703">
        <v>33</v>
      </c>
      <c r="D703" t="s">
        <v>18</v>
      </c>
      <c r="E703" t="s">
        <v>34</v>
      </c>
      <c r="F703" t="s">
        <v>28</v>
      </c>
      <c r="G703" s="1">
        <v>45821</v>
      </c>
      <c r="H703" s="1">
        <v>45824</v>
      </c>
      <c r="I703" s="1" t="str">
        <f>TEXT(Table1[[#This Row],[Admission Date]],"MMMM")</f>
        <v>June</v>
      </c>
      <c r="J703">
        <v>3</v>
      </c>
      <c r="K703">
        <v>34629</v>
      </c>
    </row>
    <row r="704" spans="1:11" x14ac:dyDescent="0.3">
      <c r="A704" t="s">
        <v>881</v>
      </c>
      <c r="B704" t="s">
        <v>683</v>
      </c>
      <c r="C704">
        <v>18</v>
      </c>
      <c r="D704" t="s">
        <v>13</v>
      </c>
      <c r="E704" t="s">
        <v>23</v>
      </c>
      <c r="F704" t="s">
        <v>20</v>
      </c>
      <c r="G704" s="1">
        <v>45660</v>
      </c>
      <c r="H704" s="1">
        <v>45672</v>
      </c>
      <c r="I704" s="1" t="str">
        <f>TEXT(Table1[[#This Row],[Admission Date]],"MMMM")</f>
        <v>January</v>
      </c>
      <c r="J704">
        <v>12</v>
      </c>
      <c r="K704">
        <v>131724</v>
      </c>
    </row>
    <row r="705" spans="1:11" x14ac:dyDescent="0.3">
      <c r="A705" t="s">
        <v>882</v>
      </c>
      <c r="B705" t="s">
        <v>85</v>
      </c>
      <c r="C705">
        <v>59</v>
      </c>
      <c r="D705" t="s">
        <v>13</v>
      </c>
      <c r="E705" t="s">
        <v>103</v>
      </c>
      <c r="F705" t="s">
        <v>43</v>
      </c>
      <c r="G705" s="1">
        <v>45954</v>
      </c>
      <c r="H705" s="1">
        <v>45962</v>
      </c>
      <c r="I705" s="1" t="str">
        <f>TEXT(Table1[[#This Row],[Admission Date]],"MMMM")</f>
        <v>October</v>
      </c>
      <c r="J705">
        <v>8</v>
      </c>
      <c r="K705">
        <v>33176</v>
      </c>
    </row>
    <row r="706" spans="1:11" x14ac:dyDescent="0.3">
      <c r="A706" t="s">
        <v>883</v>
      </c>
      <c r="B706" t="s">
        <v>276</v>
      </c>
      <c r="C706">
        <v>18</v>
      </c>
      <c r="D706" t="s">
        <v>18</v>
      </c>
      <c r="E706" t="s">
        <v>40</v>
      </c>
      <c r="F706" t="s">
        <v>28</v>
      </c>
      <c r="G706" s="1">
        <v>45957</v>
      </c>
      <c r="H706" s="1">
        <v>45959</v>
      </c>
      <c r="I706" s="1" t="str">
        <f>TEXT(Table1[[#This Row],[Admission Date]],"MMMM")</f>
        <v>October</v>
      </c>
      <c r="J706">
        <v>2</v>
      </c>
      <c r="K706">
        <v>11576</v>
      </c>
    </row>
    <row r="707" spans="1:11" x14ac:dyDescent="0.3">
      <c r="A707" t="s">
        <v>884</v>
      </c>
      <c r="B707" t="s">
        <v>62</v>
      </c>
      <c r="C707">
        <v>22</v>
      </c>
      <c r="D707" t="s">
        <v>18</v>
      </c>
      <c r="E707" t="s">
        <v>49</v>
      </c>
      <c r="F707" t="s">
        <v>63</v>
      </c>
      <c r="G707" s="1">
        <v>45957</v>
      </c>
      <c r="H707" s="1">
        <v>45965</v>
      </c>
      <c r="I707" s="1" t="str">
        <f>TEXT(Table1[[#This Row],[Admission Date]],"MMMM")</f>
        <v>October</v>
      </c>
      <c r="J707">
        <v>8</v>
      </c>
      <c r="K707">
        <v>53904</v>
      </c>
    </row>
    <row r="708" spans="1:11" x14ac:dyDescent="0.3">
      <c r="A708" t="s">
        <v>885</v>
      </c>
      <c r="B708" t="s">
        <v>119</v>
      </c>
      <c r="C708">
        <v>49</v>
      </c>
      <c r="D708" t="s">
        <v>18</v>
      </c>
      <c r="E708" t="s">
        <v>34</v>
      </c>
      <c r="F708" t="s">
        <v>63</v>
      </c>
      <c r="G708" s="1">
        <v>45719</v>
      </c>
      <c r="H708" s="1">
        <v>45734</v>
      </c>
      <c r="I708" s="1" t="str">
        <f>TEXT(Table1[[#This Row],[Admission Date]],"MMMM")</f>
        <v>March</v>
      </c>
      <c r="J708">
        <v>15</v>
      </c>
      <c r="K708">
        <v>127155</v>
      </c>
    </row>
    <row r="709" spans="1:11" x14ac:dyDescent="0.3">
      <c r="A709" t="s">
        <v>886</v>
      </c>
      <c r="B709" t="s">
        <v>313</v>
      </c>
      <c r="C709">
        <v>18</v>
      </c>
      <c r="D709" t="s">
        <v>18</v>
      </c>
      <c r="E709" t="s">
        <v>14</v>
      </c>
      <c r="F709" t="s">
        <v>43</v>
      </c>
      <c r="G709" s="1">
        <v>45662</v>
      </c>
      <c r="H709" s="1">
        <v>45668</v>
      </c>
      <c r="I709" s="1" t="str">
        <f>TEXT(Table1[[#This Row],[Admission Date]],"MMMM")</f>
        <v>January</v>
      </c>
      <c r="J709">
        <v>6</v>
      </c>
      <c r="K709">
        <v>44418</v>
      </c>
    </row>
    <row r="710" spans="1:11" x14ac:dyDescent="0.3">
      <c r="A710" t="s">
        <v>887</v>
      </c>
      <c r="B710" t="s">
        <v>152</v>
      </c>
      <c r="C710">
        <v>32</v>
      </c>
      <c r="D710" t="s">
        <v>13</v>
      </c>
      <c r="E710" t="s">
        <v>27</v>
      </c>
      <c r="F710" t="s">
        <v>20</v>
      </c>
      <c r="G710" s="1">
        <v>45865</v>
      </c>
      <c r="H710" s="1">
        <v>45874</v>
      </c>
      <c r="I710" s="1" t="str">
        <f>TEXT(Table1[[#This Row],[Admission Date]],"MMMM")</f>
        <v>July</v>
      </c>
      <c r="J710">
        <v>9</v>
      </c>
      <c r="K710">
        <v>41580</v>
      </c>
    </row>
    <row r="711" spans="1:11" x14ac:dyDescent="0.3">
      <c r="A711" t="s">
        <v>888</v>
      </c>
      <c r="B711" t="s">
        <v>232</v>
      </c>
      <c r="C711">
        <v>73</v>
      </c>
      <c r="D711" t="s">
        <v>13</v>
      </c>
      <c r="E711" t="s">
        <v>27</v>
      </c>
      <c r="F711" t="s">
        <v>15</v>
      </c>
      <c r="G711" s="1">
        <v>45806</v>
      </c>
      <c r="H711" s="1">
        <v>45812</v>
      </c>
      <c r="I711" s="1" t="str">
        <f>TEXT(Table1[[#This Row],[Admission Date]],"MMMM")</f>
        <v>May</v>
      </c>
      <c r="J711">
        <v>6</v>
      </c>
      <c r="K711">
        <v>29892</v>
      </c>
    </row>
    <row r="712" spans="1:11" x14ac:dyDescent="0.3">
      <c r="A712" t="s">
        <v>889</v>
      </c>
      <c r="B712" t="s">
        <v>101</v>
      </c>
      <c r="C712">
        <v>66</v>
      </c>
      <c r="D712" t="s">
        <v>13</v>
      </c>
      <c r="E712" t="s">
        <v>49</v>
      </c>
      <c r="F712" t="s">
        <v>35</v>
      </c>
      <c r="G712" s="1">
        <v>45910</v>
      </c>
      <c r="H712" s="1">
        <v>45923</v>
      </c>
      <c r="I712" s="1" t="str">
        <f>TEXT(Table1[[#This Row],[Admission Date]],"MMMM")</f>
        <v>September</v>
      </c>
      <c r="J712">
        <v>13</v>
      </c>
      <c r="K712">
        <v>155987</v>
      </c>
    </row>
    <row r="713" spans="1:11" x14ac:dyDescent="0.3">
      <c r="A713" t="s">
        <v>890</v>
      </c>
      <c r="B713" t="s">
        <v>121</v>
      </c>
      <c r="C713">
        <v>26</v>
      </c>
      <c r="D713" t="s">
        <v>13</v>
      </c>
      <c r="E713" t="s">
        <v>40</v>
      </c>
      <c r="F713" t="s">
        <v>28</v>
      </c>
      <c r="G713" s="1">
        <v>45740</v>
      </c>
      <c r="H713" s="1">
        <v>45751</v>
      </c>
      <c r="I713" s="1" t="str">
        <f>TEXT(Table1[[#This Row],[Admission Date]],"MMMM")</f>
        <v>March</v>
      </c>
      <c r="J713">
        <v>11</v>
      </c>
      <c r="K713">
        <v>63096</v>
      </c>
    </row>
    <row r="714" spans="1:11" x14ac:dyDescent="0.3">
      <c r="A714" t="s">
        <v>891</v>
      </c>
      <c r="B714" t="s">
        <v>126</v>
      </c>
      <c r="C714">
        <v>3</v>
      </c>
      <c r="D714" t="s">
        <v>18</v>
      </c>
      <c r="E714" t="s">
        <v>40</v>
      </c>
      <c r="F714" t="s">
        <v>63</v>
      </c>
      <c r="G714" s="1">
        <v>45886</v>
      </c>
      <c r="H714" s="1">
        <v>45894</v>
      </c>
      <c r="I714" s="1" t="str">
        <f>TEXT(Table1[[#This Row],[Admission Date]],"MMMM")</f>
        <v>August</v>
      </c>
      <c r="J714">
        <v>8</v>
      </c>
      <c r="K714">
        <v>64184</v>
      </c>
    </row>
    <row r="715" spans="1:11" x14ac:dyDescent="0.3">
      <c r="A715" t="s">
        <v>892</v>
      </c>
      <c r="B715" t="s">
        <v>45</v>
      </c>
      <c r="C715">
        <v>74</v>
      </c>
      <c r="D715" t="s">
        <v>18</v>
      </c>
      <c r="E715" t="s">
        <v>40</v>
      </c>
      <c r="F715" t="s">
        <v>63</v>
      </c>
      <c r="G715" s="1">
        <v>45908</v>
      </c>
      <c r="H715" s="1">
        <v>45909</v>
      </c>
      <c r="I715" s="1" t="str">
        <f>TEXT(Table1[[#This Row],[Admission Date]],"MMMM")</f>
        <v>September</v>
      </c>
      <c r="J715">
        <v>1</v>
      </c>
      <c r="K715">
        <v>8061</v>
      </c>
    </row>
    <row r="716" spans="1:11" x14ac:dyDescent="0.3">
      <c r="A716" t="s">
        <v>893</v>
      </c>
      <c r="B716" t="s">
        <v>97</v>
      </c>
      <c r="C716">
        <v>87</v>
      </c>
      <c r="D716" t="s">
        <v>18</v>
      </c>
      <c r="E716" t="s">
        <v>23</v>
      </c>
      <c r="F716" t="s">
        <v>15</v>
      </c>
      <c r="G716" s="1">
        <v>45682</v>
      </c>
      <c r="H716" s="1">
        <v>45684</v>
      </c>
      <c r="I716" s="1" t="str">
        <f>TEXT(Table1[[#This Row],[Admission Date]],"MMMM")</f>
        <v>January</v>
      </c>
      <c r="J716">
        <v>2</v>
      </c>
      <c r="K716">
        <v>18980</v>
      </c>
    </row>
    <row r="717" spans="1:11" x14ac:dyDescent="0.3">
      <c r="A717" t="s">
        <v>894</v>
      </c>
      <c r="B717" t="s">
        <v>309</v>
      </c>
      <c r="C717">
        <v>10</v>
      </c>
      <c r="D717" t="s">
        <v>18</v>
      </c>
      <c r="E717" t="s">
        <v>103</v>
      </c>
      <c r="F717" t="s">
        <v>24</v>
      </c>
      <c r="G717" s="1">
        <v>45867</v>
      </c>
      <c r="H717" s="1">
        <v>45869</v>
      </c>
      <c r="I717" s="1" t="str">
        <f>TEXT(Table1[[#This Row],[Admission Date]],"MMMM")</f>
        <v>July</v>
      </c>
      <c r="J717">
        <v>2</v>
      </c>
      <c r="K717">
        <v>13188</v>
      </c>
    </row>
    <row r="718" spans="1:11" x14ac:dyDescent="0.3">
      <c r="A718" t="s">
        <v>895</v>
      </c>
      <c r="B718" t="s">
        <v>131</v>
      </c>
      <c r="C718">
        <v>8</v>
      </c>
      <c r="D718" t="s">
        <v>13</v>
      </c>
      <c r="E718" t="s">
        <v>103</v>
      </c>
      <c r="F718" t="s">
        <v>28</v>
      </c>
      <c r="G718" s="1">
        <v>45678</v>
      </c>
      <c r="H718" s="1">
        <v>45683</v>
      </c>
      <c r="I718" s="1" t="str">
        <f>TEXT(Table1[[#This Row],[Admission Date]],"MMMM")</f>
        <v>January</v>
      </c>
      <c r="J718">
        <v>5</v>
      </c>
      <c r="K718">
        <v>24740</v>
      </c>
    </row>
    <row r="719" spans="1:11" x14ac:dyDescent="0.3">
      <c r="A719" t="s">
        <v>896</v>
      </c>
      <c r="B719" t="s">
        <v>304</v>
      </c>
      <c r="C719">
        <v>46</v>
      </c>
      <c r="D719" t="s">
        <v>18</v>
      </c>
      <c r="E719" t="s">
        <v>103</v>
      </c>
      <c r="F719" t="s">
        <v>28</v>
      </c>
      <c r="G719" s="1">
        <v>45676</v>
      </c>
      <c r="H719" s="1">
        <v>45691</v>
      </c>
      <c r="I719" s="1" t="str">
        <f>TEXT(Table1[[#This Row],[Admission Date]],"MMMM")</f>
        <v>January</v>
      </c>
      <c r="J719">
        <v>15</v>
      </c>
      <c r="K719">
        <v>66450</v>
      </c>
    </row>
    <row r="720" spans="1:11" x14ac:dyDescent="0.3">
      <c r="A720" t="s">
        <v>897</v>
      </c>
      <c r="B720" t="s">
        <v>131</v>
      </c>
      <c r="C720">
        <v>14</v>
      </c>
      <c r="D720" t="s">
        <v>13</v>
      </c>
      <c r="E720" t="s">
        <v>49</v>
      </c>
      <c r="F720" t="s">
        <v>24</v>
      </c>
      <c r="G720" s="1">
        <v>45685</v>
      </c>
      <c r="H720" s="1">
        <v>45699</v>
      </c>
      <c r="I720" s="1" t="str">
        <f>TEXT(Table1[[#This Row],[Admission Date]],"MMMM")</f>
        <v>January</v>
      </c>
      <c r="J720">
        <v>14</v>
      </c>
      <c r="K720">
        <v>113358</v>
      </c>
    </row>
    <row r="721" spans="1:11" x14ac:dyDescent="0.3">
      <c r="A721" t="s">
        <v>898</v>
      </c>
      <c r="B721" t="s">
        <v>186</v>
      </c>
      <c r="C721">
        <v>5</v>
      </c>
      <c r="D721" t="s">
        <v>13</v>
      </c>
      <c r="E721" t="s">
        <v>46</v>
      </c>
      <c r="F721" t="s">
        <v>20</v>
      </c>
      <c r="G721" s="1">
        <v>46000</v>
      </c>
      <c r="H721" s="1">
        <v>46004</v>
      </c>
      <c r="I721" s="1" t="str">
        <f>TEXT(Table1[[#This Row],[Admission Date]],"MMMM")</f>
        <v>December</v>
      </c>
      <c r="J721">
        <v>4</v>
      </c>
      <c r="K721">
        <v>32904</v>
      </c>
    </row>
    <row r="722" spans="1:11" x14ac:dyDescent="0.3">
      <c r="A722" t="s">
        <v>899</v>
      </c>
      <c r="B722" t="s">
        <v>163</v>
      </c>
      <c r="C722">
        <v>29</v>
      </c>
      <c r="D722" t="s">
        <v>18</v>
      </c>
      <c r="E722" t="s">
        <v>103</v>
      </c>
      <c r="F722" t="s">
        <v>63</v>
      </c>
      <c r="G722" s="1">
        <v>45890</v>
      </c>
      <c r="H722" s="1">
        <v>45895</v>
      </c>
      <c r="I722" s="1" t="str">
        <f>TEXT(Table1[[#This Row],[Admission Date]],"MMMM")</f>
        <v>August</v>
      </c>
      <c r="J722">
        <v>5</v>
      </c>
      <c r="K722">
        <v>52080</v>
      </c>
    </row>
    <row r="723" spans="1:11" x14ac:dyDescent="0.3">
      <c r="A723" t="s">
        <v>900</v>
      </c>
      <c r="B723" t="s">
        <v>901</v>
      </c>
      <c r="C723">
        <v>90</v>
      </c>
      <c r="D723" t="s">
        <v>18</v>
      </c>
      <c r="E723" t="s">
        <v>27</v>
      </c>
      <c r="F723" t="s">
        <v>35</v>
      </c>
      <c r="G723" s="1">
        <v>45921</v>
      </c>
      <c r="H723" s="1">
        <v>45924</v>
      </c>
      <c r="I723" s="1" t="str">
        <f>TEXT(Table1[[#This Row],[Admission Date]],"MMMM")</f>
        <v>September</v>
      </c>
      <c r="J723">
        <v>3</v>
      </c>
      <c r="K723">
        <v>14544</v>
      </c>
    </row>
    <row r="724" spans="1:11" x14ac:dyDescent="0.3">
      <c r="A724" t="s">
        <v>902</v>
      </c>
      <c r="B724" t="s">
        <v>793</v>
      </c>
      <c r="C724">
        <v>62</v>
      </c>
      <c r="D724" t="s">
        <v>13</v>
      </c>
      <c r="E724" t="s">
        <v>46</v>
      </c>
      <c r="F724" t="s">
        <v>28</v>
      </c>
      <c r="G724" s="1">
        <v>45722</v>
      </c>
      <c r="H724" s="1">
        <v>45734</v>
      </c>
      <c r="I724" s="1" t="str">
        <f>TEXT(Table1[[#This Row],[Admission Date]],"MMMM")</f>
        <v>March</v>
      </c>
      <c r="J724">
        <v>12</v>
      </c>
      <c r="K724">
        <v>52044</v>
      </c>
    </row>
    <row r="725" spans="1:11" x14ac:dyDescent="0.3">
      <c r="A725" t="s">
        <v>903</v>
      </c>
      <c r="B725" t="s">
        <v>48</v>
      </c>
      <c r="C725">
        <v>90</v>
      </c>
      <c r="D725" t="s">
        <v>13</v>
      </c>
      <c r="E725" t="s">
        <v>49</v>
      </c>
      <c r="F725" t="s">
        <v>15</v>
      </c>
      <c r="G725" s="1">
        <v>45873</v>
      </c>
      <c r="H725" s="1">
        <v>45887</v>
      </c>
      <c r="I725" s="1" t="str">
        <f>TEXT(Table1[[#This Row],[Admission Date]],"MMMM")</f>
        <v>August</v>
      </c>
      <c r="J725">
        <v>14</v>
      </c>
      <c r="K725">
        <v>130200</v>
      </c>
    </row>
    <row r="726" spans="1:11" x14ac:dyDescent="0.3">
      <c r="A726" t="s">
        <v>904</v>
      </c>
      <c r="B726" t="s">
        <v>75</v>
      </c>
      <c r="C726">
        <v>12</v>
      </c>
      <c r="D726" t="s">
        <v>13</v>
      </c>
      <c r="E726" t="s">
        <v>23</v>
      </c>
      <c r="F726" t="s">
        <v>15</v>
      </c>
      <c r="G726" s="1">
        <v>45661</v>
      </c>
      <c r="H726" s="1">
        <v>45676</v>
      </c>
      <c r="I726" s="1" t="str">
        <f>TEXT(Table1[[#This Row],[Admission Date]],"MMMM")</f>
        <v>January</v>
      </c>
      <c r="J726">
        <v>15</v>
      </c>
      <c r="K726">
        <v>153480</v>
      </c>
    </row>
    <row r="727" spans="1:11" x14ac:dyDescent="0.3">
      <c r="A727" t="s">
        <v>905</v>
      </c>
      <c r="B727" t="s">
        <v>110</v>
      </c>
      <c r="C727">
        <v>4</v>
      </c>
      <c r="D727" t="s">
        <v>13</v>
      </c>
      <c r="E727" t="s">
        <v>19</v>
      </c>
      <c r="F727" t="s">
        <v>35</v>
      </c>
      <c r="G727" s="1">
        <v>46005</v>
      </c>
      <c r="H727" s="1">
        <v>46015</v>
      </c>
      <c r="I727" s="1" t="str">
        <f>TEXT(Table1[[#This Row],[Admission Date]],"MMMM")</f>
        <v>December</v>
      </c>
      <c r="J727">
        <v>10</v>
      </c>
      <c r="K727">
        <v>86490</v>
      </c>
    </row>
    <row r="728" spans="1:11" x14ac:dyDescent="0.3">
      <c r="A728" t="s">
        <v>906</v>
      </c>
      <c r="B728" t="s">
        <v>367</v>
      </c>
      <c r="C728">
        <v>55</v>
      </c>
      <c r="D728" t="s">
        <v>13</v>
      </c>
      <c r="E728" t="s">
        <v>34</v>
      </c>
      <c r="F728" t="s">
        <v>60</v>
      </c>
      <c r="G728" s="1">
        <v>45791</v>
      </c>
      <c r="H728" s="1">
        <v>45805</v>
      </c>
      <c r="I728" s="1" t="str">
        <f>TEXT(Table1[[#This Row],[Admission Date]],"MMMM")</f>
        <v>May</v>
      </c>
      <c r="J728">
        <v>14</v>
      </c>
      <c r="K728">
        <v>103824</v>
      </c>
    </row>
    <row r="729" spans="1:11" x14ac:dyDescent="0.3">
      <c r="A729" t="s">
        <v>907</v>
      </c>
      <c r="B729" t="s">
        <v>204</v>
      </c>
      <c r="C729">
        <v>72</v>
      </c>
      <c r="D729" t="s">
        <v>18</v>
      </c>
      <c r="E729" t="s">
        <v>27</v>
      </c>
      <c r="F729" t="s">
        <v>60</v>
      </c>
      <c r="G729" s="1">
        <v>45681</v>
      </c>
      <c r="H729" s="1">
        <v>45690</v>
      </c>
      <c r="I729" s="1" t="str">
        <f>TEXT(Table1[[#This Row],[Admission Date]],"MMMM")</f>
        <v>January</v>
      </c>
      <c r="J729">
        <v>9</v>
      </c>
      <c r="K729">
        <v>52749</v>
      </c>
    </row>
    <row r="730" spans="1:11" x14ac:dyDescent="0.3">
      <c r="A730" t="s">
        <v>908</v>
      </c>
      <c r="B730" t="s">
        <v>197</v>
      </c>
      <c r="C730">
        <v>77</v>
      </c>
      <c r="D730" t="s">
        <v>18</v>
      </c>
      <c r="E730" t="s">
        <v>103</v>
      </c>
      <c r="F730" t="s">
        <v>24</v>
      </c>
      <c r="G730" s="1">
        <v>45850</v>
      </c>
      <c r="H730" s="1">
        <v>45851</v>
      </c>
      <c r="I730" s="1" t="str">
        <f>TEXT(Table1[[#This Row],[Admission Date]],"MMMM")</f>
        <v>July</v>
      </c>
      <c r="J730">
        <v>1</v>
      </c>
      <c r="K730">
        <v>11784</v>
      </c>
    </row>
    <row r="731" spans="1:11" x14ac:dyDescent="0.3">
      <c r="A731" t="s">
        <v>909</v>
      </c>
      <c r="B731" t="s">
        <v>117</v>
      </c>
      <c r="C731">
        <v>9</v>
      </c>
      <c r="D731" t="s">
        <v>13</v>
      </c>
      <c r="E731" t="s">
        <v>46</v>
      </c>
      <c r="F731" t="s">
        <v>35</v>
      </c>
      <c r="G731" s="1">
        <v>45806</v>
      </c>
      <c r="H731" s="1">
        <v>45807</v>
      </c>
      <c r="I731" s="1" t="str">
        <f>TEXT(Table1[[#This Row],[Admission Date]],"MMMM")</f>
        <v>May</v>
      </c>
      <c r="J731">
        <v>1</v>
      </c>
      <c r="K731">
        <v>10048</v>
      </c>
    </row>
    <row r="732" spans="1:11" x14ac:dyDescent="0.3">
      <c r="A732" t="s">
        <v>910</v>
      </c>
      <c r="B732" t="s">
        <v>551</v>
      </c>
      <c r="C732">
        <v>82</v>
      </c>
      <c r="D732" t="s">
        <v>18</v>
      </c>
      <c r="E732" t="s">
        <v>19</v>
      </c>
      <c r="F732" t="s">
        <v>43</v>
      </c>
      <c r="G732" s="1">
        <v>45969</v>
      </c>
      <c r="H732" s="1">
        <v>45975</v>
      </c>
      <c r="I732" s="1" t="str">
        <f>TEXT(Table1[[#This Row],[Admission Date]],"MMMM")</f>
        <v>November</v>
      </c>
      <c r="J732">
        <v>6</v>
      </c>
      <c r="K732">
        <v>53256</v>
      </c>
    </row>
    <row r="733" spans="1:11" x14ac:dyDescent="0.3">
      <c r="A733" t="s">
        <v>911</v>
      </c>
      <c r="B733" t="s">
        <v>121</v>
      </c>
      <c r="C733">
        <v>68</v>
      </c>
      <c r="D733" t="s">
        <v>18</v>
      </c>
      <c r="E733" t="s">
        <v>14</v>
      </c>
      <c r="F733" t="s">
        <v>60</v>
      </c>
      <c r="G733" s="1">
        <v>45836</v>
      </c>
      <c r="H733" s="1">
        <v>45844</v>
      </c>
      <c r="I733" s="1" t="str">
        <f>TEXT(Table1[[#This Row],[Admission Date]],"MMMM")</f>
        <v>June</v>
      </c>
      <c r="J733">
        <v>8</v>
      </c>
      <c r="K733">
        <v>78280</v>
      </c>
    </row>
    <row r="734" spans="1:11" x14ac:dyDescent="0.3">
      <c r="A734" t="s">
        <v>912</v>
      </c>
      <c r="B734" t="s">
        <v>108</v>
      </c>
      <c r="C734">
        <v>42</v>
      </c>
      <c r="D734" t="s">
        <v>18</v>
      </c>
      <c r="E734" t="s">
        <v>14</v>
      </c>
      <c r="F734" t="s">
        <v>35</v>
      </c>
      <c r="G734" s="1">
        <v>45953</v>
      </c>
      <c r="H734" s="1">
        <v>45960</v>
      </c>
      <c r="I734" s="1" t="str">
        <f>TEXT(Table1[[#This Row],[Admission Date]],"MMMM")</f>
        <v>October</v>
      </c>
      <c r="J734">
        <v>7</v>
      </c>
      <c r="K734">
        <v>31591</v>
      </c>
    </row>
    <row r="735" spans="1:11" x14ac:dyDescent="0.3">
      <c r="A735" t="s">
        <v>913</v>
      </c>
      <c r="B735" t="s">
        <v>268</v>
      </c>
      <c r="C735">
        <v>9</v>
      </c>
      <c r="D735" t="s">
        <v>13</v>
      </c>
      <c r="E735" t="s">
        <v>49</v>
      </c>
      <c r="F735" t="s">
        <v>20</v>
      </c>
      <c r="G735" s="1">
        <v>45776</v>
      </c>
      <c r="H735" s="1">
        <v>45784</v>
      </c>
      <c r="I735" s="1" t="str">
        <f>TEXT(Table1[[#This Row],[Admission Date]],"MMMM")</f>
        <v>April</v>
      </c>
      <c r="J735">
        <v>8</v>
      </c>
      <c r="K735">
        <v>92752</v>
      </c>
    </row>
    <row r="736" spans="1:11" x14ac:dyDescent="0.3">
      <c r="A736" t="s">
        <v>914</v>
      </c>
      <c r="B736" t="s">
        <v>284</v>
      </c>
      <c r="C736">
        <v>34</v>
      </c>
      <c r="D736" t="s">
        <v>13</v>
      </c>
      <c r="E736" t="s">
        <v>49</v>
      </c>
      <c r="F736" t="s">
        <v>28</v>
      </c>
      <c r="G736" s="1">
        <v>45753</v>
      </c>
      <c r="H736" s="1">
        <v>45762</v>
      </c>
      <c r="I736" s="1" t="str">
        <f>TEXT(Table1[[#This Row],[Admission Date]],"MMMM")</f>
        <v>April</v>
      </c>
      <c r="J736">
        <v>9</v>
      </c>
      <c r="K736">
        <v>46494</v>
      </c>
    </row>
    <row r="737" spans="1:11" x14ac:dyDescent="0.3">
      <c r="A737" t="s">
        <v>915</v>
      </c>
      <c r="B737" t="s">
        <v>476</v>
      </c>
      <c r="C737">
        <v>61</v>
      </c>
      <c r="D737" t="s">
        <v>18</v>
      </c>
      <c r="E737" t="s">
        <v>23</v>
      </c>
      <c r="F737" t="s">
        <v>20</v>
      </c>
      <c r="G737" s="1">
        <v>45893</v>
      </c>
      <c r="H737" s="1">
        <v>45900</v>
      </c>
      <c r="I737" s="1" t="str">
        <f>TEXT(Table1[[#This Row],[Admission Date]],"MMMM")</f>
        <v>August</v>
      </c>
      <c r="J737">
        <v>7</v>
      </c>
      <c r="K737">
        <v>80633</v>
      </c>
    </row>
    <row r="738" spans="1:11" x14ac:dyDescent="0.3">
      <c r="A738" t="s">
        <v>916</v>
      </c>
      <c r="B738" t="s">
        <v>331</v>
      </c>
      <c r="C738">
        <v>42</v>
      </c>
      <c r="D738" t="s">
        <v>18</v>
      </c>
      <c r="E738" t="s">
        <v>46</v>
      </c>
      <c r="F738" t="s">
        <v>20</v>
      </c>
      <c r="G738" s="1">
        <v>45948</v>
      </c>
      <c r="H738" s="1">
        <v>45955</v>
      </c>
      <c r="I738" s="1" t="str">
        <f>TEXT(Table1[[#This Row],[Admission Date]],"MMMM")</f>
        <v>October</v>
      </c>
      <c r="J738">
        <v>7</v>
      </c>
      <c r="K738">
        <v>55454</v>
      </c>
    </row>
    <row r="739" spans="1:11" x14ac:dyDescent="0.3">
      <c r="A739" t="s">
        <v>917</v>
      </c>
      <c r="B739" t="s">
        <v>26</v>
      </c>
      <c r="C739">
        <v>65</v>
      </c>
      <c r="D739" t="s">
        <v>18</v>
      </c>
      <c r="E739" t="s">
        <v>19</v>
      </c>
      <c r="F739" t="s">
        <v>60</v>
      </c>
      <c r="G739" s="1">
        <v>45959</v>
      </c>
      <c r="H739" s="1">
        <v>45966</v>
      </c>
      <c r="I739" s="1" t="str">
        <f>TEXT(Table1[[#This Row],[Admission Date]],"MMMM")</f>
        <v>October</v>
      </c>
      <c r="J739">
        <v>7</v>
      </c>
      <c r="K739">
        <v>59773</v>
      </c>
    </row>
    <row r="740" spans="1:11" x14ac:dyDescent="0.3">
      <c r="A740" t="s">
        <v>918</v>
      </c>
      <c r="B740" t="s">
        <v>73</v>
      </c>
      <c r="C740">
        <v>68</v>
      </c>
      <c r="D740" t="s">
        <v>13</v>
      </c>
      <c r="E740" t="s">
        <v>23</v>
      </c>
      <c r="F740" t="s">
        <v>20</v>
      </c>
      <c r="G740" s="1">
        <v>45866</v>
      </c>
      <c r="H740" s="1">
        <v>45873</v>
      </c>
      <c r="I740" s="1" t="str">
        <f>TEXT(Table1[[#This Row],[Admission Date]],"MMMM")</f>
        <v>July</v>
      </c>
      <c r="J740">
        <v>7</v>
      </c>
      <c r="K740">
        <v>62559</v>
      </c>
    </row>
    <row r="741" spans="1:11" x14ac:dyDescent="0.3">
      <c r="A741" t="s">
        <v>919</v>
      </c>
      <c r="B741" t="s">
        <v>476</v>
      </c>
      <c r="C741">
        <v>26</v>
      </c>
      <c r="D741" t="s">
        <v>13</v>
      </c>
      <c r="E741" t="s">
        <v>46</v>
      </c>
      <c r="F741" t="s">
        <v>15</v>
      </c>
      <c r="G741" s="1">
        <v>45957</v>
      </c>
      <c r="H741" s="1">
        <v>45961</v>
      </c>
      <c r="I741" s="1" t="str">
        <f>TEXT(Table1[[#This Row],[Admission Date]],"MMMM")</f>
        <v>October</v>
      </c>
      <c r="J741">
        <v>4</v>
      </c>
      <c r="K741">
        <v>36428</v>
      </c>
    </row>
    <row r="742" spans="1:11" x14ac:dyDescent="0.3">
      <c r="A742" t="s">
        <v>920</v>
      </c>
      <c r="B742" t="s">
        <v>691</v>
      </c>
      <c r="C742">
        <v>40</v>
      </c>
      <c r="D742" t="s">
        <v>18</v>
      </c>
      <c r="E742" t="s">
        <v>46</v>
      </c>
      <c r="F742" t="s">
        <v>28</v>
      </c>
      <c r="G742" s="1">
        <v>45915</v>
      </c>
      <c r="H742" s="1">
        <v>45922</v>
      </c>
      <c r="I742" s="1" t="str">
        <f>TEXT(Table1[[#This Row],[Admission Date]],"MMMM")</f>
        <v>September</v>
      </c>
      <c r="J742">
        <v>7</v>
      </c>
      <c r="K742">
        <v>66675</v>
      </c>
    </row>
    <row r="743" spans="1:11" x14ac:dyDescent="0.3">
      <c r="A743" t="s">
        <v>921</v>
      </c>
      <c r="B743" t="s">
        <v>465</v>
      </c>
      <c r="C743">
        <v>71</v>
      </c>
      <c r="D743" t="s">
        <v>18</v>
      </c>
      <c r="E743" t="s">
        <v>49</v>
      </c>
      <c r="F743" t="s">
        <v>28</v>
      </c>
      <c r="G743" s="1">
        <v>45929</v>
      </c>
      <c r="H743" s="1">
        <v>45940</v>
      </c>
      <c r="I743" s="1" t="str">
        <f>TEXT(Table1[[#This Row],[Admission Date]],"MMMM")</f>
        <v>September</v>
      </c>
      <c r="J743">
        <v>11</v>
      </c>
      <c r="K743">
        <v>115588</v>
      </c>
    </row>
    <row r="744" spans="1:11" x14ac:dyDescent="0.3">
      <c r="A744" t="s">
        <v>922</v>
      </c>
      <c r="B744" t="s">
        <v>99</v>
      </c>
      <c r="C744">
        <v>76</v>
      </c>
      <c r="D744" t="s">
        <v>13</v>
      </c>
      <c r="E744" t="s">
        <v>19</v>
      </c>
      <c r="F744" t="s">
        <v>20</v>
      </c>
      <c r="G744" s="1">
        <v>45991</v>
      </c>
      <c r="H744" s="1">
        <v>45995</v>
      </c>
      <c r="I744" s="1" t="str">
        <f>TEXT(Table1[[#This Row],[Admission Date]],"MMMM")</f>
        <v>November</v>
      </c>
      <c r="J744">
        <v>4</v>
      </c>
      <c r="K744">
        <v>19060</v>
      </c>
    </row>
    <row r="745" spans="1:11" x14ac:dyDescent="0.3">
      <c r="A745" t="s">
        <v>923</v>
      </c>
      <c r="B745" t="s">
        <v>87</v>
      </c>
      <c r="C745">
        <v>9</v>
      </c>
      <c r="D745" t="s">
        <v>18</v>
      </c>
      <c r="E745" t="s">
        <v>23</v>
      </c>
      <c r="F745" t="s">
        <v>43</v>
      </c>
      <c r="G745" s="1">
        <v>45971</v>
      </c>
      <c r="H745" s="1">
        <v>45980</v>
      </c>
      <c r="I745" s="1" t="str">
        <f>TEXT(Table1[[#This Row],[Admission Date]],"MMMM")</f>
        <v>November</v>
      </c>
      <c r="J745">
        <v>9</v>
      </c>
      <c r="K745">
        <v>41598</v>
      </c>
    </row>
    <row r="746" spans="1:11" x14ac:dyDescent="0.3">
      <c r="A746" t="s">
        <v>924</v>
      </c>
      <c r="B746" t="s">
        <v>69</v>
      </c>
      <c r="C746">
        <v>16</v>
      </c>
      <c r="D746" t="s">
        <v>13</v>
      </c>
      <c r="E746" t="s">
        <v>23</v>
      </c>
      <c r="F746" t="s">
        <v>20</v>
      </c>
      <c r="G746" s="1">
        <v>45691</v>
      </c>
      <c r="H746" s="1">
        <v>45692</v>
      </c>
      <c r="I746" s="1" t="str">
        <f>TEXT(Table1[[#This Row],[Admission Date]],"MMMM")</f>
        <v>February</v>
      </c>
      <c r="J746">
        <v>1</v>
      </c>
      <c r="K746">
        <v>11211</v>
      </c>
    </row>
    <row r="747" spans="1:11" x14ac:dyDescent="0.3">
      <c r="A747" t="s">
        <v>925</v>
      </c>
      <c r="B747" t="s">
        <v>108</v>
      </c>
      <c r="C747">
        <v>28</v>
      </c>
      <c r="D747" t="s">
        <v>13</v>
      </c>
      <c r="E747" t="s">
        <v>46</v>
      </c>
      <c r="F747" t="s">
        <v>43</v>
      </c>
      <c r="G747" s="1">
        <v>45788</v>
      </c>
      <c r="H747" s="1">
        <v>45791</v>
      </c>
      <c r="I747" s="1" t="str">
        <f>TEXT(Table1[[#This Row],[Admission Date]],"MMMM")</f>
        <v>May</v>
      </c>
      <c r="J747">
        <v>3</v>
      </c>
      <c r="K747">
        <v>32892</v>
      </c>
    </row>
    <row r="748" spans="1:11" x14ac:dyDescent="0.3">
      <c r="A748" t="s">
        <v>926</v>
      </c>
      <c r="B748" t="s">
        <v>429</v>
      </c>
      <c r="C748">
        <v>56</v>
      </c>
      <c r="D748" t="s">
        <v>18</v>
      </c>
      <c r="E748" t="s">
        <v>103</v>
      </c>
      <c r="F748" t="s">
        <v>28</v>
      </c>
      <c r="G748" s="1">
        <v>45979</v>
      </c>
      <c r="H748" s="1">
        <v>45987</v>
      </c>
      <c r="I748" s="1" t="str">
        <f>TEXT(Table1[[#This Row],[Admission Date]],"MMMM")</f>
        <v>November</v>
      </c>
      <c r="J748">
        <v>8</v>
      </c>
      <c r="K748">
        <v>63712</v>
      </c>
    </row>
    <row r="749" spans="1:11" x14ac:dyDescent="0.3">
      <c r="A749" t="s">
        <v>927</v>
      </c>
      <c r="B749" t="s">
        <v>284</v>
      </c>
      <c r="C749">
        <v>13</v>
      </c>
      <c r="D749" t="s">
        <v>13</v>
      </c>
      <c r="E749" t="s">
        <v>14</v>
      </c>
      <c r="F749" t="s">
        <v>43</v>
      </c>
      <c r="G749" s="1">
        <v>45982</v>
      </c>
      <c r="H749" s="1">
        <v>45994</v>
      </c>
      <c r="I749" s="1" t="str">
        <f>TEXT(Table1[[#This Row],[Admission Date]],"MMMM")</f>
        <v>November</v>
      </c>
      <c r="J749">
        <v>12</v>
      </c>
      <c r="K749">
        <v>75924</v>
      </c>
    </row>
    <row r="750" spans="1:11" x14ac:dyDescent="0.3">
      <c r="A750" t="s">
        <v>928</v>
      </c>
      <c r="B750" t="s">
        <v>221</v>
      </c>
      <c r="C750">
        <v>46</v>
      </c>
      <c r="D750" t="s">
        <v>13</v>
      </c>
      <c r="E750" t="s">
        <v>49</v>
      </c>
      <c r="F750" t="s">
        <v>28</v>
      </c>
      <c r="G750" s="1">
        <v>46010</v>
      </c>
      <c r="H750" s="1">
        <v>46014</v>
      </c>
      <c r="I750" s="1" t="str">
        <f>TEXT(Table1[[#This Row],[Admission Date]],"MMMM")</f>
        <v>December</v>
      </c>
      <c r="J750">
        <v>4</v>
      </c>
      <c r="K750">
        <v>19328</v>
      </c>
    </row>
    <row r="751" spans="1:11" x14ac:dyDescent="0.3">
      <c r="A751" t="s">
        <v>929</v>
      </c>
      <c r="B751" t="s">
        <v>257</v>
      </c>
      <c r="C751">
        <v>53</v>
      </c>
      <c r="D751" t="s">
        <v>18</v>
      </c>
      <c r="E751" t="s">
        <v>19</v>
      </c>
      <c r="F751" t="s">
        <v>20</v>
      </c>
      <c r="G751" s="1">
        <v>45664</v>
      </c>
      <c r="H751" s="1">
        <v>45675</v>
      </c>
      <c r="I751" s="1" t="str">
        <f>TEXT(Table1[[#This Row],[Admission Date]],"MMMM")</f>
        <v>January</v>
      </c>
      <c r="J751">
        <v>11</v>
      </c>
      <c r="K751">
        <v>86922</v>
      </c>
    </row>
    <row r="752" spans="1:11" x14ac:dyDescent="0.3">
      <c r="A752" t="s">
        <v>930</v>
      </c>
      <c r="B752" t="s">
        <v>326</v>
      </c>
      <c r="C752">
        <v>70</v>
      </c>
      <c r="D752" t="s">
        <v>13</v>
      </c>
      <c r="E752" t="s">
        <v>40</v>
      </c>
      <c r="F752" t="s">
        <v>24</v>
      </c>
      <c r="G752" s="1">
        <v>45844</v>
      </c>
      <c r="H752" s="1">
        <v>45846</v>
      </c>
      <c r="I752" s="1" t="str">
        <f>TEXT(Table1[[#This Row],[Admission Date]],"MMMM")</f>
        <v>July</v>
      </c>
      <c r="J752">
        <v>2</v>
      </c>
      <c r="K752">
        <v>11636</v>
      </c>
    </row>
    <row r="753" spans="1:11" x14ac:dyDescent="0.3">
      <c r="A753" t="s">
        <v>931</v>
      </c>
      <c r="B753" t="s">
        <v>257</v>
      </c>
      <c r="C753">
        <v>70</v>
      </c>
      <c r="D753" t="s">
        <v>18</v>
      </c>
      <c r="E753" t="s">
        <v>40</v>
      </c>
      <c r="F753" t="s">
        <v>28</v>
      </c>
      <c r="G753" s="1">
        <v>45945</v>
      </c>
      <c r="H753" s="1">
        <v>45951</v>
      </c>
      <c r="I753" s="1" t="str">
        <f>TEXT(Table1[[#This Row],[Admission Date]],"MMMM")</f>
        <v>October</v>
      </c>
      <c r="J753">
        <v>6</v>
      </c>
      <c r="K753">
        <v>63996</v>
      </c>
    </row>
    <row r="754" spans="1:11" x14ac:dyDescent="0.3">
      <c r="A754" t="s">
        <v>932</v>
      </c>
      <c r="B754" t="s">
        <v>161</v>
      </c>
      <c r="C754">
        <v>48</v>
      </c>
      <c r="D754" t="s">
        <v>18</v>
      </c>
      <c r="E754" t="s">
        <v>34</v>
      </c>
      <c r="F754" t="s">
        <v>24</v>
      </c>
      <c r="G754" s="1">
        <v>45750</v>
      </c>
      <c r="H754" s="1">
        <v>45751</v>
      </c>
      <c r="I754" s="1" t="str">
        <f>TEXT(Table1[[#This Row],[Admission Date]],"MMMM")</f>
        <v>April</v>
      </c>
      <c r="J754">
        <v>1</v>
      </c>
      <c r="K754">
        <v>8631</v>
      </c>
    </row>
    <row r="755" spans="1:11" x14ac:dyDescent="0.3">
      <c r="A755" t="s">
        <v>933</v>
      </c>
      <c r="B755" t="s">
        <v>331</v>
      </c>
      <c r="C755">
        <v>73</v>
      </c>
      <c r="D755" t="s">
        <v>18</v>
      </c>
      <c r="E755" t="s">
        <v>34</v>
      </c>
      <c r="F755" t="s">
        <v>60</v>
      </c>
      <c r="G755" s="1">
        <v>45885</v>
      </c>
      <c r="H755" s="1">
        <v>45891</v>
      </c>
      <c r="I755" s="1" t="str">
        <f>TEXT(Table1[[#This Row],[Admission Date]],"MMMM")</f>
        <v>August</v>
      </c>
      <c r="J755">
        <v>6</v>
      </c>
      <c r="K755">
        <v>71094</v>
      </c>
    </row>
    <row r="756" spans="1:11" x14ac:dyDescent="0.3">
      <c r="A756" t="s">
        <v>934</v>
      </c>
      <c r="B756" t="s">
        <v>391</v>
      </c>
      <c r="C756">
        <v>42</v>
      </c>
      <c r="D756" t="s">
        <v>13</v>
      </c>
      <c r="E756" t="s">
        <v>31</v>
      </c>
      <c r="F756" t="s">
        <v>28</v>
      </c>
      <c r="G756" s="1">
        <v>45862</v>
      </c>
      <c r="H756" s="1">
        <v>45872</v>
      </c>
      <c r="I756" s="1" t="str">
        <f>TEXT(Table1[[#This Row],[Admission Date]],"MMMM")</f>
        <v>July</v>
      </c>
      <c r="J756">
        <v>10</v>
      </c>
      <c r="K756">
        <v>91350</v>
      </c>
    </row>
    <row r="757" spans="1:11" x14ac:dyDescent="0.3">
      <c r="A757" t="s">
        <v>935</v>
      </c>
      <c r="B757" t="s">
        <v>420</v>
      </c>
      <c r="C757">
        <v>59</v>
      </c>
      <c r="D757" t="s">
        <v>13</v>
      </c>
      <c r="E757" t="s">
        <v>19</v>
      </c>
      <c r="F757" t="s">
        <v>35</v>
      </c>
      <c r="G757" s="1">
        <v>45852</v>
      </c>
      <c r="H757" s="1">
        <v>45867</v>
      </c>
      <c r="I757" s="1" t="str">
        <f>TEXT(Table1[[#This Row],[Admission Date]],"MMMM")</f>
        <v>July</v>
      </c>
      <c r="J757">
        <v>15</v>
      </c>
      <c r="K757">
        <v>172845</v>
      </c>
    </row>
    <row r="758" spans="1:11" x14ac:dyDescent="0.3">
      <c r="A758" t="s">
        <v>936</v>
      </c>
      <c r="B758" t="s">
        <v>165</v>
      </c>
      <c r="C758">
        <v>61</v>
      </c>
      <c r="D758" t="s">
        <v>18</v>
      </c>
      <c r="E758" t="s">
        <v>27</v>
      </c>
      <c r="F758" t="s">
        <v>63</v>
      </c>
      <c r="G758" s="1">
        <v>45758</v>
      </c>
      <c r="H758" s="1">
        <v>45772</v>
      </c>
      <c r="I758" s="1" t="str">
        <f>TEXT(Table1[[#This Row],[Admission Date]],"MMMM")</f>
        <v>April</v>
      </c>
      <c r="J758">
        <v>14</v>
      </c>
      <c r="K758">
        <v>113442</v>
      </c>
    </row>
    <row r="759" spans="1:11" x14ac:dyDescent="0.3">
      <c r="A759" t="s">
        <v>937</v>
      </c>
      <c r="B759" t="s">
        <v>252</v>
      </c>
      <c r="C759">
        <v>67</v>
      </c>
      <c r="D759" t="s">
        <v>18</v>
      </c>
      <c r="E759" t="s">
        <v>46</v>
      </c>
      <c r="F759" t="s">
        <v>63</v>
      </c>
      <c r="G759" s="1">
        <v>45801</v>
      </c>
      <c r="H759" s="1">
        <v>45807</v>
      </c>
      <c r="I759" s="1" t="str">
        <f>TEXT(Table1[[#This Row],[Admission Date]],"MMMM")</f>
        <v>May</v>
      </c>
      <c r="J759">
        <v>6</v>
      </c>
      <c r="K759">
        <v>68658</v>
      </c>
    </row>
    <row r="760" spans="1:11" x14ac:dyDescent="0.3">
      <c r="A760" t="s">
        <v>938</v>
      </c>
      <c r="B760" t="s">
        <v>465</v>
      </c>
      <c r="C760">
        <v>57</v>
      </c>
      <c r="D760" t="s">
        <v>13</v>
      </c>
      <c r="E760" t="s">
        <v>19</v>
      </c>
      <c r="F760" t="s">
        <v>35</v>
      </c>
      <c r="G760" s="1">
        <v>45799</v>
      </c>
      <c r="H760" s="1">
        <v>45811</v>
      </c>
      <c r="I760" s="1" t="str">
        <f>TEXT(Table1[[#This Row],[Admission Date]],"MMMM")</f>
        <v>May</v>
      </c>
      <c r="J760">
        <v>12</v>
      </c>
      <c r="K760">
        <v>129564</v>
      </c>
    </row>
    <row r="761" spans="1:11" x14ac:dyDescent="0.3">
      <c r="A761" t="s">
        <v>939</v>
      </c>
      <c r="B761" t="s">
        <v>274</v>
      </c>
      <c r="C761">
        <v>55</v>
      </c>
      <c r="D761" t="s">
        <v>13</v>
      </c>
      <c r="E761" t="s">
        <v>23</v>
      </c>
      <c r="F761" t="s">
        <v>28</v>
      </c>
      <c r="G761" s="1">
        <v>45766</v>
      </c>
      <c r="H761" s="1">
        <v>45777</v>
      </c>
      <c r="I761" s="1" t="str">
        <f>TEXT(Table1[[#This Row],[Admission Date]],"MMMM")</f>
        <v>April</v>
      </c>
      <c r="J761">
        <v>11</v>
      </c>
      <c r="K761">
        <v>50919</v>
      </c>
    </row>
    <row r="762" spans="1:11" x14ac:dyDescent="0.3">
      <c r="A762" t="s">
        <v>940</v>
      </c>
      <c r="B762" t="s">
        <v>119</v>
      </c>
      <c r="C762">
        <v>15</v>
      </c>
      <c r="D762" t="s">
        <v>13</v>
      </c>
      <c r="E762" t="s">
        <v>14</v>
      </c>
      <c r="F762" t="s">
        <v>63</v>
      </c>
      <c r="G762" s="1">
        <v>45935</v>
      </c>
      <c r="H762" s="1">
        <v>45937</v>
      </c>
      <c r="I762" s="1" t="str">
        <f>TEXT(Table1[[#This Row],[Admission Date]],"MMMM")</f>
        <v>October</v>
      </c>
      <c r="J762">
        <v>2</v>
      </c>
      <c r="K762">
        <v>16648</v>
      </c>
    </row>
    <row r="763" spans="1:11" x14ac:dyDescent="0.3">
      <c r="A763" t="s">
        <v>941</v>
      </c>
      <c r="B763" t="s">
        <v>33</v>
      </c>
      <c r="C763">
        <v>26</v>
      </c>
      <c r="D763" t="s">
        <v>13</v>
      </c>
      <c r="E763" t="s">
        <v>27</v>
      </c>
      <c r="F763" t="s">
        <v>28</v>
      </c>
      <c r="G763" s="1">
        <v>45672</v>
      </c>
      <c r="H763" s="1">
        <v>45675</v>
      </c>
      <c r="I763" s="1" t="str">
        <f>TEXT(Table1[[#This Row],[Admission Date]],"MMMM")</f>
        <v>January</v>
      </c>
      <c r="J763">
        <v>3</v>
      </c>
      <c r="K763">
        <v>20082</v>
      </c>
    </row>
    <row r="764" spans="1:11" x14ac:dyDescent="0.3">
      <c r="A764" t="s">
        <v>942</v>
      </c>
      <c r="B764" t="s">
        <v>17</v>
      </c>
      <c r="C764">
        <v>36</v>
      </c>
      <c r="D764" t="s">
        <v>13</v>
      </c>
      <c r="E764" t="s">
        <v>14</v>
      </c>
      <c r="F764" t="s">
        <v>15</v>
      </c>
      <c r="G764" s="1">
        <v>45988</v>
      </c>
      <c r="H764" s="1">
        <v>45997</v>
      </c>
      <c r="I764" s="1" t="str">
        <f>TEXT(Table1[[#This Row],[Admission Date]],"MMMM")</f>
        <v>November</v>
      </c>
      <c r="J764">
        <v>9</v>
      </c>
      <c r="K764">
        <v>62343</v>
      </c>
    </row>
    <row r="765" spans="1:11" x14ac:dyDescent="0.3">
      <c r="A765" t="s">
        <v>943</v>
      </c>
      <c r="B765" t="s">
        <v>45</v>
      </c>
      <c r="C765">
        <v>2</v>
      </c>
      <c r="D765" t="s">
        <v>13</v>
      </c>
      <c r="E765" t="s">
        <v>19</v>
      </c>
      <c r="F765" t="s">
        <v>24</v>
      </c>
      <c r="G765" s="1">
        <v>45821</v>
      </c>
      <c r="H765" s="1">
        <v>45836</v>
      </c>
      <c r="I765" s="1" t="str">
        <f>TEXT(Table1[[#This Row],[Admission Date]],"MMMM")</f>
        <v>June</v>
      </c>
      <c r="J765">
        <v>15</v>
      </c>
      <c r="K765">
        <v>157440</v>
      </c>
    </row>
    <row r="766" spans="1:11" x14ac:dyDescent="0.3">
      <c r="A766" t="s">
        <v>944</v>
      </c>
      <c r="B766" t="s">
        <v>67</v>
      </c>
      <c r="C766">
        <v>43</v>
      </c>
      <c r="D766" t="s">
        <v>13</v>
      </c>
      <c r="E766" t="s">
        <v>23</v>
      </c>
      <c r="F766" t="s">
        <v>28</v>
      </c>
      <c r="G766" s="1">
        <v>45689</v>
      </c>
      <c r="H766" s="1">
        <v>45698</v>
      </c>
      <c r="I766" s="1" t="str">
        <f>TEXT(Table1[[#This Row],[Admission Date]],"MMMM")</f>
        <v>February</v>
      </c>
      <c r="J766">
        <v>9</v>
      </c>
      <c r="K766">
        <v>99198</v>
      </c>
    </row>
    <row r="767" spans="1:11" x14ac:dyDescent="0.3">
      <c r="A767" t="s">
        <v>945</v>
      </c>
      <c r="B767" t="s">
        <v>30</v>
      </c>
      <c r="C767">
        <v>23</v>
      </c>
      <c r="D767" t="s">
        <v>13</v>
      </c>
      <c r="E767" t="s">
        <v>46</v>
      </c>
      <c r="F767" t="s">
        <v>28</v>
      </c>
      <c r="G767" s="1">
        <v>45989</v>
      </c>
      <c r="H767" s="1">
        <v>45996</v>
      </c>
      <c r="I767" s="1" t="str">
        <f>TEXT(Table1[[#This Row],[Admission Date]],"MMMM")</f>
        <v>November</v>
      </c>
      <c r="J767">
        <v>7</v>
      </c>
      <c r="K767">
        <v>66528</v>
      </c>
    </row>
    <row r="768" spans="1:11" x14ac:dyDescent="0.3">
      <c r="A768" t="s">
        <v>946</v>
      </c>
      <c r="B768" t="s">
        <v>378</v>
      </c>
      <c r="C768">
        <v>62</v>
      </c>
      <c r="D768" t="s">
        <v>18</v>
      </c>
      <c r="E768" t="s">
        <v>19</v>
      </c>
      <c r="F768" t="s">
        <v>28</v>
      </c>
      <c r="G768" s="1">
        <v>46022</v>
      </c>
      <c r="H768" s="1">
        <v>46037</v>
      </c>
      <c r="I768" s="1" t="str">
        <f>TEXT(Table1[[#This Row],[Admission Date]],"MMMM")</f>
        <v>December</v>
      </c>
      <c r="J768">
        <v>15</v>
      </c>
      <c r="K768">
        <v>112320</v>
      </c>
    </row>
    <row r="769" spans="1:11" x14ac:dyDescent="0.3">
      <c r="A769" t="s">
        <v>947</v>
      </c>
      <c r="B769" t="s">
        <v>26</v>
      </c>
      <c r="C769">
        <v>30</v>
      </c>
      <c r="D769" t="s">
        <v>18</v>
      </c>
      <c r="E769" t="s">
        <v>46</v>
      </c>
      <c r="F769" t="s">
        <v>60</v>
      </c>
      <c r="G769" s="1">
        <v>45681</v>
      </c>
      <c r="H769" s="1">
        <v>45693</v>
      </c>
      <c r="I769" s="1" t="str">
        <f>TEXT(Table1[[#This Row],[Admission Date]],"MMMM")</f>
        <v>January</v>
      </c>
      <c r="J769">
        <v>12</v>
      </c>
      <c r="K769">
        <v>76164</v>
      </c>
    </row>
    <row r="770" spans="1:11" x14ac:dyDescent="0.3">
      <c r="A770" t="s">
        <v>948</v>
      </c>
      <c r="B770" t="s">
        <v>131</v>
      </c>
      <c r="C770">
        <v>46</v>
      </c>
      <c r="D770" t="s">
        <v>18</v>
      </c>
      <c r="E770" t="s">
        <v>27</v>
      </c>
      <c r="F770" t="s">
        <v>60</v>
      </c>
      <c r="G770" s="1">
        <v>45948</v>
      </c>
      <c r="H770" s="1">
        <v>45953</v>
      </c>
      <c r="I770" s="1" t="str">
        <f>TEXT(Table1[[#This Row],[Admission Date]],"MMMM")</f>
        <v>October</v>
      </c>
      <c r="J770">
        <v>5</v>
      </c>
      <c r="K770">
        <v>55100</v>
      </c>
    </row>
    <row r="771" spans="1:11" x14ac:dyDescent="0.3">
      <c r="A771" t="s">
        <v>949</v>
      </c>
      <c r="B771" t="s">
        <v>99</v>
      </c>
      <c r="C771">
        <v>59</v>
      </c>
      <c r="D771" t="s">
        <v>18</v>
      </c>
      <c r="E771" t="s">
        <v>14</v>
      </c>
      <c r="F771" t="s">
        <v>35</v>
      </c>
      <c r="G771" s="1">
        <v>45983</v>
      </c>
      <c r="H771" s="1">
        <v>45986</v>
      </c>
      <c r="I771" s="1" t="str">
        <f>TEXT(Table1[[#This Row],[Admission Date]],"MMMM")</f>
        <v>November</v>
      </c>
      <c r="J771">
        <v>3</v>
      </c>
      <c r="K771">
        <v>31170</v>
      </c>
    </row>
    <row r="772" spans="1:11" x14ac:dyDescent="0.3">
      <c r="A772" t="s">
        <v>950</v>
      </c>
      <c r="B772" t="s">
        <v>22</v>
      </c>
      <c r="C772">
        <v>5</v>
      </c>
      <c r="D772" t="s">
        <v>18</v>
      </c>
      <c r="E772" t="s">
        <v>40</v>
      </c>
      <c r="F772" t="s">
        <v>63</v>
      </c>
      <c r="G772" s="1">
        <v>45725</v>
      </c>
      <c r="H772" s="1">
        <v>45726</v>
      </c>
      <c r="I772" s="1" t="str">
        <f>TEXT(Table1[[#This Row],[Admission Date]],"MMMM")</f>
        <v>March</v>
      </c>
      <c r="J772">
        <v>1</v>
      </c>
      <c r="K772">
        <v>11365</v>
      </c>
    </row>
    <row r="773" spans="1:11" x14ac:dyDescent="0.3">
      <c r="A773" t="s">
        <v>951</v>
      </c>
      <c r="B773" t="s">
        <v>200</v>
      </c>
      <c r="C773">
        <v>77</v>
      </c>
      <c r="D773" t="s">
        <v>13</v>
      </c>
      <c r="E773" t="s">
        <v>14</v>
      </c>
      <c r="F773" t="s">
        <v>63</v>
      </c>
      <c r="G773" s="1">
        <v>45721</v>
      </c>
      <c r="H773" s="1">
        <v>45728</v>
      </c>
      <c r="I773" s="1" t="str">
        <f>TEXT(Table1[[#This Row],[Admission Date]],"MMMM")</f>
        <v>March</v>
      </c>
      <c r="J773">
        <v>7</v>
      </c>
      <c r="K773">
        <v>29302</v>
      </c>
    </row>
    <row r="774" spans="1:11" x14ac:dyDescent="0.3">
      <c r="A774" t="s">
        <v>952</v>
      </c>
      <c r="B774" t="s">
        <v>48</v>
      </c>
      <c r="C774">
        <v>5</v>
      </c>
      <c r="D774" t="s">
        <v>13</v>
      </c>
      <c r="E774" t="s">
        <v>31</v>
      </c>
      <c r="F774" t="s">
        <v>28</v>
      </c>
      <c r="G774" s="1">
        <v>45890</v>
      </c>
      <c r="H774" s="1">
        <v>45900</v>
      </c>
      <c r="I774" s="1" t="str">
        <f>TEXT(Table1[[#This Row],[Admission Date]],"MMMM")</f>
        <v>August</v>
      </c>
      <c r="J774">
        <v>10</v>
      </c>
      <c r="K774">
        <v>48850</v>
      </c>
    </row>
    <row r="775" spans="1:11" x14ac:dyDescent="0.3">
      <c r="A775" t="s">
        <v>953</v>
      </c>
      <c r="B775" t="s">
        <v>108</v>
      </c>
      <c r="C775">
        <v>30</v>
      </c>
      <c r="D775" t="s">
        <v>13</v>
      </c>
      <c r="E775" t="s">
        <v>19</v>
      </c>
      <c r="F775" t="s">
        <v>60</v>
      </c>
      <c r="G775" s="1">
        <v>45684</v>
      </c>
      <c r="H775" s="1">
        <v>45691</v>
      </c>
      <c r="I775" s="1" t="str">
        <f>TEXT(Table1[[#This Row],[Admission Date]],"MMMM")</f>
        <v>January</v>
      </c>
      <c r="J775">
        <v>7</v>
      </c>
      <c r="K775">
        <v>77644</v>
      </c>
    </row>
    <row r="776" spans="1:11" x14ac:dyDescent="0.3">
      <c r="A776" t="s">
        <v>954</v>
      </c>
      <c r="B776" t="s">
        <v>202</v>
      </c>
      <c r="C776">
        <v>22</v>
      </c>
      <c r="D776" t="s">
        <v>13</v>
      </c>
      <c r="E776" t="s">
        <v>27</v>
      </c>
      <c r="F776" t="s">
        <v>24</v>
      </c>
      <c r="G776" s="1">
        <v>45695</v>
      </c>
      <c r="H776" s="1">
        <v>45706</v>
      </c>
      <c r="I776" s="1" t="str">
        <f>TEXT(Table1[[#This Row],[Admission Date]],"MMMM")</f>
        <v>February</v>
      </c>
      <c r="J776">
        <v>11</v>
      </c>
      <c r="K776">
        <v>71753</v>
      </c>
    </row>
    <row r="777" spans="1:11" x14ac:dyDescent="0.3">
      <c r="A777" t="s">
        <v>955</v>
      </c>
      <c r="B777" t="s">
        <v>62</v>
      </c>
      <c r="C777">
        <v>3</v>
      </c>
      <c r="D777" t="s">
        <v>18</v>
      </c>
      <c r="E777" t="s">
        <v>49</v>
      </c>
      <c r="F777" t="s">
        <v>28</v>
      </c>
      <c r="G777" s="1">
        <v>45924</v>
      </c>
      <c r="H777" s="1">
        <v>45930</v>
      </c>
      <c r="I777" s="1" t="str">
        <f>TEXT(Table1[[#This Row],[Admission Date]],"MMMM")</f>
        <v>September</v>
      </c>
      <c r="J777">
        <v>6</v>
      </c>
      <c r="K777">
        <v>31056</v>
      </c>
    </row>
    <row r="778" spans="1:11" x14ac:dyDescent="0.3">
      <c r="A778" t="s">
        <v>956</v>
      </c>
      <c r="B778" t="s">
        <v>37</v>
      </c>
      <c r="C778">
        <v>47</v>
      </c>
      <c r="D778" t="s">
        <v>18</v>
      </c>
      <c r="E778" t="s">
        <v>14</v>
      </c>
      <c r="F778" t="s">
        <v>35</v>
      </c>
      <c r="G778" s="1">
        <v>45663</v>
      </c>
      <c r="H778" s="1">
        <v>45666</v>
      </c>
      <c r="I778" s="1" t="str">
        <f>TEXT(Table1[[#This Row],[Admission Date]],"MMMM")</f>
        <v>January</v>
      </c>
      <c r="J778">
        <v>3</v>
      </c>
      <c r="K778">
        <v>17550</v>
      </c>
    </row>
    <row r="779" spans="1:11" x14ac:dyDescent="0.3">
      <c r="A779" t="s">
        <v>957</v>
      </c>
      <c r="B779" t="s">
        <v>212</v>
      </c>
      <c r="C779">
        <v>14</v>
      </c>
      <c r="D779" t="s">
        <v>13</v>
      </c>
      <c r="E779" t="s">
        <v>27</v>
      </c>
      <c r="F779" t="s">
        <v>28</v>
      </c>
      <c r="G779" s="1">
        <v>45817</v>
      </c>
      <c r="H779" s="1">
        <v>45821</v>
      </c>
      <c r="I779" s="1" t="str">
        <f>TEXT(Table1[[#This Row],[Admission Date]],"MMMM")</f>
        <v>June</v>
      </c>
      <c r="J779">
        <v>4</v>
      </c>
      <c r="K779">
        <v>43180</v>
      </c>
    </row>
    <row r="780" spans="1:11" x14ac:dyDescent="0.3">
      <c r="A780" t="s">
        <v>958</v>
      </c>
      <c r="B780" t="s">
        <v>551</v>
      </c>
      <c r="C780">
        <v>59</v>
      </c>
      <c r="D780" t="s">
        <v>13</v>
      </c>
      <c r="E780" t="s">
        <v>14</v>
      </c>
      <c r="F780" t="s">
        <v>60</v>
      </c>
      <c r="G780" s="1">
        <v>45755</v>
      </c>
      <c r="H780" s="1">
        <v>45759</v>
      </c>
      <c r="I780" s="1" t="str">
        <f>TEXT(Table1[[#This Row],[Admission Date]],"MMMM")</f>
        <v>April</v>
      </c>
      <c r="J780">
        <v>4</v>
      </c>
      <c r="K780">
        <v>25212</v>
      </c>
    </row>
    <row r="781" spans="1:11" x14ac:dyDescent="0.3">
      <c r="A781" t="s">
        <v>959</v>
      </c>
      <c r="B781" t="s">
        <v>83</v>
      </c>
      <c r="C781">
        <v>16</v>
      </c>
      <c r="D781" t="s">
        <v>18</v>
      </c>
      <c r="E781" t="s">
        <v>46</v>
      </c>
      <c r="F781" t="s">
        <v>35</v>
      </c>
      <c r="G781" s="1">
        <v>45938</v>
      </c>
      <c r="H781" s="1">
        <v>45951</v>
      </c>
      <c r="I781" s="1" t="str">
        <f>TEXT(Table1[[#This Row],[Admission Date]],"MMMM")</f>
        <v>October</v>
      </c>
      <c r="J781">
        <v>13</v>
      </c>
      <c r="K781">
        <v>150943</v>
      </c>
    </row>
    <row r="782" spans="1:11" x14ac:dyDescent="0.3">
      <c r="A782" t="s">
        <v>960</v>
      </c>
      <c r="B782" t="s">
        <v>90</v>
      </c>
      <c r="C782">
        <v>18</v>
      </c>
      <c r="D782" t="s">
        <v>13</v>
      </c>
      <c r="E782" t="s">
        <v>14</v>
      </c>
      <c r="F782" t="s">
        <v>35</v>
      </c>
      <c r="G782" s="1">
        <v>45896</v>
      </c>
      <c r="H782" s="1">
        <v>45903</v>
      </c>
      <c r="I782" s="1" t="str">
        <f>TEXT(Table1[[#This Row],[Admission Date]],"MMMM")</f>
        <v>August</v>
      </c>
      <c r="J782">
        <v>7</v>
      </c>
      <c r="K782">
        <v>54180</v>
      </c>
    </row>
    <row r="783" spans="1:11" x14ac:dyDescent="0.3">
      <c r="A783" t="s">
        <v>961</v>
      </c>
      <c r="B783" t="s">
        <v>427</v>
      </c>
      <c r="C783">
        <v>45</v>
      </c>
      <c r="D783" t="s">
        <v>13</v>
      </c>
      <c r="E783" t="s">
        <v>31</v>
      </c>
      <c r="F783" t="s">
        <v>28</v>
      </c>
      <c r="G783" s="1">
        <v>46002</v>
      </c>
      <c r="H783" s="1">
        <v>46016</v>
      </c>
      <c r="I783" s="1" t="str">
        <f>TEXT(Table1[[#This Row],[Admission Date]],"MMMM")</f>
        <v>December</v>
      </c>
      <c r="J783">
        <v>14</v>
      </c>
      <c r="K783">
        <v>60494</v>
      </c>
    </row>
    <row r="784" spans="1:11" x14ac:dyDescent="0.3">
      <c r="A784" t="s">
        <v>962</v>
      </c>
      <c r="B784" t="s">
        <v>372</v>
      </c>
      <c r="C784">
        <v>41</v>
      </c>
      <c r="D784" t="s">
        <v>13</v>
      </c>
      <c r="E784" t="s">
        <v>14</v>
      </c>
      <c r="F784" t="s">
        <v>28</v>
      </c>
      <c r="G784" s="1">
        <v>45828</v>
      </c>
      <c r="H784" s="1">
        <v>45841</v>
      </c>
      <c r="I784" s="1" t="str">
        <f>TEXT(Table1[[#This Row],[Admission Date]],"MMMM")</f>
        <v>June</v>
      </c>
      <c r="J784">
        <v>13</v>
      </c>
      <c r="K784">
        <v>67041</v>
      </c>
    </row>
    <row r="785" spans="1:11" x14ac:dyDescent="0.3">
      <c r="A785" t="s">
        <v>963</v>
      </c>
      <c r="B785" t="s">
        <v>26</v>
      </c>
      <c r="C785">
        <v>24</v>
      </c>
      <c r="D785" t="s">
        <v>18</v>
      </c>
      <c r="E785" t="s">
        <v>31</v>
      </c>
      <c r="F785" t="s">
        <v>43</v>
      </c>
      <c r="G785" s="1">
        <v>46013</v>
      </c>
      <c r="H785" s="1">
        <v>46018</v>
      </c>
      <c r="I785" s="1" t="str">
        <f>TEXT(Table1[[#This Row],[Admission Date]],"MMMM")</f>
        <v>December</v>
      </c>
      <c r="J785">
        <v>5</v>
      </c>
      <c r="K785">
        <v>43265</v>
      </c>
    </row>
    <row r="786" spans="1:11" x14ac:dyDescent="0.3">
      <c r="A786" t="s">
        <v>964</v>
      </c>
      <c r="B786" t="s">
        <v>309</v>
      </c>
      <c r="C786">
        <v>35</v>
      </c>
      <c r="D786" t="s">
        <v>18</v>
      </c>
      <c r="E786" t="s">
        <v>14</v>
      </c>
      <c r="F786" t="s">
        <v>63</v>
      </c>
      <c r="G786" s="1">
        <v>45870</v>
      </c>
      <c r="H786" s="1">
        <v>45874</v>
      </c>
      <c r="I786" s="1" t="str">
        <f>TEXT(Table1[[#This Row],[Admission Date]],"MMMM")</f>
        <v>August</v>
      </c>
      <c r="J786">
        <v>4</v>
      </c>
      <c r="K786">
        <v>46228</v>
      </c>
    </row>
    <row r="787" spans="1:11" x14ac:dyDescent="0.3">
      <c r="A787" t="s">
        <v>965</v>
      </c>
      <c r="B787" t="s">
        <v>274</v>
      </c>
      <c r="C787">
        <v>83</v>
      </c>
      <c r="D787" t="s">
        <v>18</v>
      </c>
      <c r="E787" t="s">
        <v>27</v>
      </c>
      <c r="F787" t="s">
        <v>43</v>
      </c>
      <c r="G787" s="1">
        <v>45825</v>
      </c>
      <c r="H787" s="1">
        <v>45833</v>
      </c>
      <c r="I787" s="1" t="str">
        <f>TEXT(Table1[[#This Row],[Admission Date]],"MMMM")</f>
        <v>June</v>
      </c>
      <c r="J787">
        <v>8</v>
      </c>
      <c r="K787">
        <v>94344</v>
      </c>
    </row>
    <row r="788" spans="1:11" x14ac:dyDescent="0.3">
      <c r="A788" t="s">
        <v>966</v>
      </c>
      <c r="B788" t="s">
        <v>143</v>
      </c>
      <c r="C788">
        <v>58</v>
      </c>
      <c r="D788" t="s">
        <v>18</v>
      </c>
      <c r="E788" t="s">
        <v>14</v>
      </c>
      <c r="F788" t="s">
        <v>63</v>
      </c>
      <c r="G788" s="1">
        <v>46001</v>
      </c>
      <c r="H788" s="1">
        <v>46006</v>
      </c>
      <c r="I788" s="1" t="str">
        <f>TEXT(Table1[[#This Row],[Admission Date]],"MMMM")</f>
        <v>December</v>
      </c>
      <c r="J788">
        <v>5</v>
      </c>
      <c r="K788">
        <v>31880</v>
      </c>
    </row>
    <row r="789" spans="1:11" x14ac:dyDescent="0.3">
      <c r="A789" t="s">
        <v>967</v>
      </c>
      <c r="B789" t="s">
        <v>197</v>
      </c>
      <c r="C789">
        <v>47</v>
      </c>
      <c r="D789" t="s">
        <v>13</v>
      </c>
      <c r="E789" t="s">
        <v>49</v>
      </c>
      <c r="F789" t="s">
        <v>60</v>
      </c>
      <c r="G789" s="1">
        <v>46002</v>
      </c>
      <c r="H789" s="1">
        <v>46010</v>
      </c>
      <c r="I789" s="1" t="str">
        <f>TEXT(Table1[[#This Row],[Admission Date]],"MMMM")</f>
        <v>December</v>
      </c>
      <c r="J789">
        <v>8</v>
      </c>
      <c r="K789">
        <v>62712</v>
      </c>
    </row>
    <row r="790" spans="1:11" x14ac:dyDescent="0.3">
      <c r="A790" t="s">
        <v>968</v>
      </c>
      <c r="B790" t="s">
        <v>159</v>
      </c>
      <c r="C790">
        <v>20</v>
      </c>
      <c r="D790" t="s">
        <v>13</v>
      </c>
      <c r="E790" t="s">
        <v>40</v>
      </c>
      <c r="F790" t="s">
        <v>60</v>
      </c>
      <c r="G790" s="1">
        <v>45731</v>
      </c>
      <c r="H790" s="1">
        <v>45745</v>
      </c>
      <c r="I790" s="1" t="str">
        <f>TEXT(Table1[[#This Row],[Admission Date]],"MMMM")</f>
        <v>March</v>
      </c>
      <c r="J790">
        <v>14</v>
      </c>
      <c r="K790">
        <v>58562</v>
      </c>
    </row>
    <row r="791" spans="1:11" x14ac:dyDescent="0.3">
      <c r="A791" t="s">
        <v>969</v>
      </c>
      <c r="B791" t="s">
        <v>138</v>
      </c>
      <c r="C791">
        <v>46</v>
      </c>
      <c r="D791" t="s">
        <v>18</v>
      </c>
      <c r="E791" t="s">
        <v>34</v>
      </c>
      <c r="F791" t="s">
        <v>43</v>
      </c>
      <c r="G791" s="1">
        <v>45998</v>
      </c>
      <c r="H791" s="1">
        <v>46003</v>
      </c>
      <c r="I791" s="1" t="str">
        <f>TEXT(Table1[[#This Row],[Admission Date]],"MMMM")</f>
        <v>December</v>
      </c>
      <c r="J791">
        <v>5</v>
      </c>
      <c r="K791">
        <v>49595</v>
      </c>
    </row>
    <row r="792" spans="1:11" x14ac:dyDescent="0.3">
      <c r="A792" t="s">
        <v>970</v>
      </c>
      <c r="B792" t="s">
        <v>12</v>
      </c>
      <c r="C792">
        <v>33</v>
      </c>
      <c r="D792" t="s">
        <v>13</v>
      </c>
      <c r="E792" t="s">
        <v>23</v>
      </c>
      <c r="F792" t="s">
        <v>60</v>
      </c>
      <c r="G792" s="1">
        <v>45686</v>
      </c>
      <c r="H792" s="1">
        <v>45697</v>
      </c>
      <c r="I792" s="1" t="str">
        <f>TEXT(Table1[[#This Row],[Admission Date]],"MMMM")</f>
        <v>January</v>
      </c>
      <c r="J792">
        <v>11</v>
      </c>
      <c r="K792">
        <v>44484</v>
      </c>
    </row>
    <row r="793" spans="1:11" x14ac:dyDescent="0.3">
      <c r="A793" t="s">
        <v>971</v>
      </c>
      <c r="B793" t="s">
        <v>465</v>
      </c>
      <c r="C793">
        <v>1</v>
      </c>
      <c r="D793" t="s">
        <v>13</v>
      </c>
      <c r="E793" t="s">
        <v>103</v>
      </c>
      <c r="F793" t="s">
        <v>60</v>
      </c>
      <c r="G793" s="1">
        <v>45842</v>
      </c>
      <c r="H793" s="1">
        <v>45848</v>
      </c>
      <c r="I793" s="1" t="str">
        <f>TEXT(Table1[[#This Row],[Admission Date]],"MMMM")</f>
        <v>July</v>
      </c>
      <c r="J793">
        <v>6</v>
      </c>
      <c r="K793">
        <v>44532</v>
      </c>
    </row>
    <row r="794" spans="1:11" x14ac:dyDescent="0.3">
      <c r="A794" t="s">
        <v>972</v>
      </c>
      <c r="B794" t="s">
        <v>113</v>
      </c>
      <c r="C794">
        <v>6</v>
      </c>
      <c r="D794" t="s">
        <v>13</v>
      </c>
      <c r="E794" t="s">
        <v>19</v>
      </c>
      <c r="F794" t="s">
        <v>63</v>
      </c>
      <c r="G794" s="1">
        <v>46013</v>
      </c>
      <c r="H794" s="1">
        <v>46014</v>
      </c>
      <c r="I794" s="1" t="str">
        <f>TEXT(Table1[[#This Row],[Admission Date]],"MMMM")</f>
        <v>December</v>
      </c>
      <c r="J794">
        <v>1</v>
      </c>
      <c r="K794">
        <v>5316</v>
      </c>
    </row>
    <row r="795" spans="1:11" x14ac:dyDescent="0.3">
      <c r="A795" t="s">
        <v>973</v>
      </c>
      <c r="B795" t="s">
        <v>346</v>
      </c>
      <c r="C795">
        <v>15</v>
      </c>
      <c r="D795" t="s">
        <v>13</v>
      </c>
      <c r="E795" t="s">
        <v>27</v>
      </c>
      <c r="F795" t="s">
        <v>28</v>
      </c>
      <c r="G795" s="1">
        <v>45891</v>
      </c>
      <c r="H795" s="1">
        <v>45895</v>
      </c>
      <c r="I795" s="1" t="str">
        <f>TEXT(Table1[[#This Row],[Admission Date]],"MMMM")</f>
        <v>August</v>
      </c>
      <c r="J795">
        <v>4</v>
      </c>
      <c r="K795">
        <v>37256</v>
      </c>
    </row>
    <row r="796" spans="1:11" x14ac:dyDescent="0.3">
      <c r="A796" t="s">
        <v>974</v>
      </c>
      <c r="B796" t="s">
        <v>128</v>
      </c>
      <c r="C796">
        <v>51</v>
      </c>
      <c r="D796" t="s">
        <v>18</v>
      </c>
      <c r="E796" t="s">
        <v>103</v>
      </c>
      <c r="F796" t="s">
        <v>35</v>
      </c>
      <c r="G796" s="1">
        <v>45933</v>
      </c>
      <c r="H796" s="1">
        <v>45939</v>
      </c>
      <c r="I796" s="1" t="str">
        <f>TEXT(Table1[[#This Row],[Admission Date]],"MMMM")</f>
        <v>October</v>
      </c>
      <c r="J796">
        <v>6</v>
      </c>
      <c r="K796">
        <v>65058</v>
      </c>
    </row>
    <row r="797" spans="1:11" x14ac:dyDescent="0.3">
      <c r="A797" t="s">
        <v>975</v>
      </c>
      <c r="B797" t="s">
        <v>39</v>
      </c>
      <c r="C797">
        <v>26</v>
      </c>
      <c r="D797" t="s">
        <v>18</v>
      </c>
      <c r="E797" t="s">
        <v>14</v>
      </c>
      <c r="F797" t="s">
        <v>35</v>
      </c>
      <c r="G797" s="1">
        <v>45758</v>
      </c>
      <c r="H797" s="1">
        <v>45765</v>
      </c>
      <c r="I797" s="1" t="str">
        <f>TEXT(Table1[[#This Row],[Admission Date]],"MMMM")</f>
        <v>April</v>
      </c>
      <c r="J797">
        <v>7</v>
      </c>
      <c r="K797">
        <v>39480</v>
      </c>
    </row>
    <row r="798" spans="1:11" x14ac:dyDescent="0.3">
      <c r="A798" t="s">
        <v>976</v>
      </c>
      <c r="B798" t="s">
        <v>295</v>
      </c>
      <c r="C798">
        <v>49</v>
      </c>
      <c r="D798" t="s">
        <v>13</v>
      </c>
      <c r="E798" t="s">
        <v>103</v>
      </c>
      <c r="F798" t="s">
        <v>20</v>
      </c>
      <c r="G798" s="1">
        <v>45934</v>
      </c>
      <c r="H798" s="1">
        <v>45946</v>
      </c>
      <c r="I798" s="1" t="str">
        <f>TEXT(Table1[[#This Row],[Admission Date]],"MMMM")</f>
        <v>October</v>
      </c>
      <c r="J798">
        <v>12</v>
      </c>
      <c r="K798">
        <v>63372</v>
      </c>
    </row>
    <row r="799" spans="1:11" x14ac:dyDescent="0.3">
      <c r="A799" t="s">
        <v>977</v>
      </c>
      <c r="B799" t="s">
        <v>326</v>
      </c>
      <c r="C799">
        <v>88</v>
      </c>
      <c r="D799" t="s">
        <v>13</v>
      </c>
      <c r="E799" t="s">
        <v>103</v>
      </c>
      <c r="F799" t="s">
        <v>24</v>
      </c>
      <c r="G799" s="1">
        <v>45887</v>
      </c>
      <c r="H799" s="1">
        <v>45893</v>
      </c>
      <c r="I799" s="1" t="str">
        <f>TEXT(Table1[[#This Row],[Admission Date]],"MMMM")</f>
        <v>August</v>
      </c>
      <c r="J799">
        <v>6</v>
      </c>
      <c r="K799">
        <v>35850</v>
      </c>
    </row>
    <row r="800" spans="1:11" x14ac:dyDescent="0.3">
      <c r="A800" t="s">
        <v>978</v>
      </c>
      <c r="B800" t="s">
        <v>73</v>
      </c>
      <c r="C800">
        <v>90</v>
      </c>
      <c r="D800" t="s">
        <v>13</v>
      </c>
      <c r="E800" t="s">
        <v>46</v>
      </c>
      <c r="F800" t="s">
        <v>24</v>
      </c>
      <c r="G800" s="1">
        <v>45797</v>
      </c>
      <c r="H800" s="1">
        <v>45798</v>
      </c>
      <c r="I800" s="1" t="str">
        <f>TEXT(Table1[[#This Row],[Admission Date]],"MMMM")</f>
        <v>May</v>
      </c>
      <c r="J800">
        <v>1</v>
      </c>
      <c r="K800">
        <v>6887</v>
      </c>
    </row>
    <row r="801" spans="1:11" x14ac:dyDescent="0.3">
      <c r="A801" t="s">
        <v>979</v>
      </c>
      <c r="B801" t="s">
        <v>242</v>
      </c>
      <c r="C801">
        <v>35</v>
      </c>
      <c r="D801" t="s">
        <v>13</v>
      </c>
      <c r="E801" t="s">
        <v>49</v>
      </c>
      <c r="F801" t="s">
        <v>63</v>
      </c>
      <c r="G801" s="1">
        <v>45825</v>
      </c>
      <c r="H801" s="1">
        <v>45836</v>
      </c>
      <c r="I801" s="1" t="str">
        <f>TEXT(Table1[[#This Row],[Admission Date]],"MMMM")</f>
        <v>June</v>
      </c>
      <c r="J801">
        <v>11</v>
      </c>
      <c r="K801">
        <v>59686</v>
      </c>
    </row>
    <row r="802" spans="1:11" x14ac:dyDescent="0.3">
      <c r="A802" t="s">
        <v>980</v>
      </c>
      <c r="B802" t="s">
        <v>39</v>
      </c>
      <c r="C802">
        <v>72</v>
      </c>
      <c r="D802" t="s">
        <v>13</v>
      </c>
      <c r="E802" t="s">
        <v>34</v>
      </c>
      <c r="F802" t="s">
        <v>24</v>
      </c>
      <c r="G802" s="1">
        <v>46021</v>
      </c>
      <c r="H802" s="1">
        <v>46032</v>
      </c>
      <c r="I802" s="1" t="str">
        <f>TEXT(Table1[[#This Row],[Admission Date]],"MMMM")</f>
        <v>December</v>
      </c>
      <c r="J802">
        <v>11</v>
      </c>
      <c r="K802">
        <v>112112</v>
      </c>
    </row>
    <row r="803" spans="1:11" x14ac:dyDescent="0.3">
      <c r="A803" t="s">
        <v>981</v>
      </c>
      <c r="B803" t="s">
        <v>901</v>
      </c>
      <c r="C803">
        <v>67</v>
      </c>
      <c r="D803" t="s">
        <v>13</v>
      </c>
      <c r="E803" t="s">
        <v>14</v>
      </c>
      <c r="F803" t="s">
        <v>63</v>
      </c>
      <c r="G803" s="1">
        <v>45692</v>
      </c>
      <c r="H803" s="1">
        <v>45694</v>
      </c>
      <c r="I803" s="1" t="str">
        <f>TEXT(Table1[[#This Row],[Admission Date]],"MMMM")</f>
        <v>February</v>
      </c>
      <c r="J803">
        <v>2</v>
      </c>
      <c r="K803">
        <v>18978</v>
      </c>
    </row>
    <row r="804" spans="1:11" x14ac:dyDescent="0.3">
      <c r="A804" t="s">
        <v>982</v>
      </c>
      <c r="B804" t="s">
        <v>468</v>
      </c>
      <c r="C804">
        <v>78</v>
      </c>
      <c r="D804" t="s">
        <v>13</v>
      </c>
      <c r="E804" t="s">
        <v>27</v>
      </c>
      <c r="F804" t="s">
        <v>15</v>
      </c>
      <c r="G804" s="1">
        <v>45850</v>
      </c>
      <c r="H804" s="1">
        <v>45860</v>
      </c>
      <c r="I804" s="1" t="str">
        <f>TEXT(Table1[[#This Row],[Admission Date]],"MMMM")</f>
        <v>July</v>
      </c>
      <c r="J804">
        <v>10</v>
      </c>
      <c r="K804">
        <v>111170</v>
      </c>
    </row>
    <row r="805" spans="1:11" x14ac:dyDescent="0.3">
      <c r="A805" t="s">
        <v>983</v>
      </c>
      <c r="B805" t="s">
        <v>117</v>
      </c>
      <c r="C805">
        <v>67</v>
      </c>
      <c r="D805" t="s">
        <v>18</v>
      </c>
      <c r="E805" t="s">
        <v>40</v>
      </c>
      <c r="F805" t="s">
        <v>24</v>
      </c>
      <c r="G805" s="1">
        <v>45875</v>
      </c>
      <c r="H805" s="1">
        <v>45887</v>
      </c>
      <c r="I805" s="1" t="str">
        <f>TEXT(Table1[[#This Row],[Admission Date]],"MMMM")</f>
        <v>August</v>
      </c>
      <c r="J805">
        <v>12</v>
      </c>
      <c r="K805">
        <v>98232</v>
      </c>
    </row>
    <row r="806" spans="1:11" x14ac:dyDescent="0.3">
      <c r="A806" t="s">
        <v>984</v>
      </c>
      <c r="B806" t="s">
        <v>380</v>
      </c>
      <c r="C806">
        <v>25</v>
      </c>
      <c r="D806" t="s">
        <v>13</v>
      </c>
      <c r="E806" t="s">
        <v>19</v>
      </c>
      <c r="F806" t="s">
        <v>20</v>
      </c>
      <c r="G806" s="1">
        <v>45941</v>
      </c>
      <c r="H806" s="1">
        <v>45954</v>
      </c>
      <c r="I806" s="1" t="str">
        <f>TEXT(Table1[[#This Row],[Admission Date]],"MMMM")</f>
        <v>October</v>
      </c>
      <c r="J806">
        <v>13</v>
      </c>
      <c r="K806">
        <v>144612</v>
      </c>
    </row>
    <row r="807" spans="1:11" x14ac:dyDescent="0.3">
      <c r="A807" t="s">
        <v>985</v>
      </c>
      <c r="B807" t="s">
        <v>37</v>
      </c>
      <c r="C807">
        <v>17</v>
      </c>
      <c r="D807" t="s">
        <v>18</v>
      </c>
      <c r="E807" t="s">
        <v>27</v>
      </c>
      <c r="F807" t="s">
        <v>60</v>
      </c>
      <c r="G807" s="1">
        <v>45684</v>
      </c>
      <c r="H807" s="1">
        <v>45686</v>
      </c>
      <c r="I807" s="1" t="str">
        <f>TEXT(Table1[[#This Row],[Admission Date]],"MMMM")</f>
        <v>January</v>
      </c>
      <c r="J807">
        <v>2</v>
      </c>
      <c r="K807">
        <v>23010</v>
      </c>
    </row>
    <row r="808" spans="1:11" x14ac:dyDescent="0.3">
      <c r="A808" t="s">
        <v>986</v>
      </c>
      <c r="B808" t="s">
        <v>427</v>
      </c>
      <c r="C808">
        <v>19</v>
      </c>
      <c r="D808" t="s">
        <v>18</v>
      </c>
      <c r="E808" t="s">
        <v>34</v>
      </c>
      <c r="F808" t="s">
        <v>63</v>
      </c>
      <c r="G808" s="1">
        <v>45876</v>
      </c>
      <c r="H808" s="1">
        <v>45878</v>
      </c>
      <c r="I808" s="1" t="str">
        <f>TEXT(Table1[[#This Row],[Admission Date]],"MMMM")</f>
        <v>August</v>
      </c>
      <c r="J808">
        <v>2</v>
      </c>
      <c r="K808">
        <v>19128</v>
      </c>
    </row>
    <row r="809" spans="1:11" x14ac:dyDescent="0.3">
      <c r="A809" t="s">
        <v>987</v>
      </c>
      <c r="B809" t="s">
        <v>69</v>
      </c>
      <c r="C809">
        <v>4</v>
      </c>
      <c r="D809" t="s">
        <v>13</v>
      </c>
      <c r="E809" t="s">
        <v>31</v>
      </c>
      <c r="F809" t="s">
        <v>15</v>
      </c>
      <c r="G809" s="1">
        <v>45807</v>
      </c>
      <c r="H809" s="1">
        <v>45822</v>
      </c>
      <c r="I809" s="1" t="str">
        <f>TEXT(Table1[[#This Row],[Admission Date]],"MMMM")</f>
        <v>May</v>
      </c>
      <c r="J809">
        <v>15</v>
      </c>
      <c r="K809">
        <v>122370</v>
      </c>
    </row>
    <row r="810" spans="1:11" x14ac:dyDescent="0.3">
      <c r="A810" t="s">
        <v>988</v>
      </c>
      <c r="B810" t="s">
        <v>603</v>
      </c>
      <c r="C810">
        <v>64</v>
      </c>
      <c r="D810" t="s">
        <v>13</v>
      </c>
      <c r="E810" t="s">
        <v>19</v>
      </c>
      <c r="F810" t="s">
        <v>43</v>
      </c>
      <c r="G810" s="1">
        <v>45742</v>
      </c>
      <c r="H810" s="1">
        <v>45746</v>
      </c>
      <c r="I810" s="1" t="str">
        <f>TEXT(Table1[[#This Row],[Admission Date]],"MMMM")</f>
        <v>March</v>
      </c>
      <c r="J810">
        <v>4</v>
      </c>
      <c r="K810">
        <v>40596</v>
      </c>
    </row>
    <row r="811" spans="1:11" x14ac:dyDescent="0.3">
      <c r="A811" t="s">
        <v>989</v>
      </c>
      <c r="B811" t="s">
        <v>188</v>
      </c>
      <c r="C811">
        <v>40</v>
      </c>
      <c r="D811" t="s">
        <v>18</v>
      </c>
      <c r="E811" t="s">
        <v>23</v>
      </c>
      <c r="F811" t="s">
        <v>28</v>
      </c>
      <c r="G811" s="1">
        <v>45964</v>
      </c>
      <c r="H811" s="1">
        <v>45967</v>
      </c>
      <c r="I811" s="1" t="str">
        <f>TEXT(Table1[[#This Row],[Admission Date]],"MMMM")</f>
        <v>November</v>
      </c>
      <c r="J811">
        <v>3</v>
      </c>
      <c r="K811">
        <v>33441</v>
      </c>
    </row>
    <row r="812" spans="1:11" x14ac:dyDescent="0.3">
      <c r="A812" t="s">
        <v>990</v>
      </c>
      <c r="B812" t="s">
        <v>395</v>
      </c>
      <c r="C812">
        <v>76</v>
      </c>
      <c r="D812" t="s">
        <v>13</v>
      </c>
      <c r="E812" t="s">
        <v>27</v>
      </c>
      <c r="F812" t="s">
        <v>63</v>
      </c>
      <c r="G812" s="1">
        <v>45758</v>
      </c>
      <c r="H812" s="1">
        <v>45762</v>
      </c>
      <c r="I812" s="1" t="str">
        <f>TEXT(Table1[[#This Row],[Admission Date]],"MMMM")</f>
        <v>April</v>
      </c>
      <c r="J812">
        <v>4</v>
      </c>
      <c r="K812">
        <v>40644</v>
      </c>
    </row>
    <row r="813" spans="1:11" x14ac:dyDescent="0.3">
      <c r="A813" t="s">
        <v>991</v>
      </c>
      <c r="B813" t="s">
        <v>113</v>
      </c>
      <c r="C813">
        <v>3</v>
      </c>
      <c r="D813" t="s">
        <v>13</v>
      </c>
      <c r="E813" t="s">
        <v>31</v>
      </c>
      <c r="F813" t="s">
        <v>63</v>
      </c>
      <c r="G813" s="1">
        <v>45857</v>
      </c>
      <c r="H813" s="1">
        <v>45864</v>
      </c>
      <c r="I813" s="1" t="str">
        <f>TEXT(Table1[[#This Row],[Admission Date]],"MMMM")</f>
        <v>July</v>
      </c>
      <c r="J813">
        <v>7</v>
      </c>
      <c r="K813">
        <v>32305</v>
      </c>
    </row>
    <row r="814" spans="1:11" x14ac:dyDescent="0.3">
      <c r="A814" t="s">
        <v>992</v>
      </c>
      <c r="B814" t="s">
        <v>39</v>
      </c>
      <c r="C814">
        <v>43</v>
      </c>
      <c r="D814" t="s">
        <v>13</v>
      </c>
      <c r="E814" t="s">
        <v>103</v>
      </c>
      <c r="F814" t="s">
        <v>60</v>
      </c>
      <c r="G814" s="1">
        <v>45750</v>
      </c>
      <c r="H814" s="1">
        <v>45759</v>
      </c>
      <c r="I814" s="1" t="str">
        <f>TEXT(Table1[[#This Row],[Admission Date]],"MMMM")</f>
        <v>April</v>
      </c>
      <c r="J814">
        <v>9</v>
      </c>
      <c r="K814">
        <v>104328</v>
      </c>
    </row>
    <row r="815" spans="1:11" x14ac:dyDescent="0.3">
      <c r="A815" t="s">
        <v>993</v>
      </c>
      <c r="B815" t="s">
        <v>69</v>
      </c>
      <c r="C815">
        <v>19</v>
      </c>
      <c r="D815" t="s">
        <v>18</v>
      </c>
      <c r="E815" t="s">
        <v>27</v>
      </c>
      <c r="F815" t="s">
        <v>24</v>
      </c>
      <c r="G815" s="1">
        <v>45698</v>
      </c>
      <c r="H815" s="1">
        <v>45705</v>
      </c>
      <c r="I815" s="1" t="str">
        <f>TEXT(Table1[[#This Row],[Admission Date]],"MMMM")</f>
        <v>February</v>
      </c>
      <c r="J815">
        <v>7</v>
      </c>
      <c r="K815">
        <v>55062</v>
      </c>
    </row>
    <row r="816" spans="1:11" x14ac:dyDescent="0.3">
      <c r="A816" t="s">
        <v>994</v>
      </c>
      <c r="B816" t="s">
        <v>133</v>
      </c>
      <c r="C816">
        <v>50</v>
      </c>
      <c r="D816" t="s">
        <v>18</v>
      </c>
      <c r="E816" t="s">
        <v>23</v>
      </c>
      <c r="F816" t="s">
        <v>28</v>
      </c>
      <c r="G816" s="1">
        <v>45990</v>
      </c>
      <c r="H816" s="1">
        <v>46003</v>
      </c>
      <c r="I816" s="1" t="str">
        <f>TEXT(Table1[[#This Row],[Admission Date]],"MMMM")</f>
        <v>November</v>
      </c>
      <c r="J816">
        <v>13</v>
      </c>
      <c r="K816">
        <v>62569</v>
      </c>
    </row>
    <row r="817" spans="1:11" x14ac:dyDescent="0.3">
      <c r="A817" t="s">
        <v>995</v>
      </c>
      <c r="B817" t="s">
        <v>59</v>
      </c>
      <c r="C817">
        <v>53</v>
      </c>
      <c r="D817" t="s">
        <v>18</v>
      </c>
      <c r="E817" t="s">
        <v>27</v>
      </c>
      <c r="F817" t="s">
        <v>43</v>
      </c>
      <c r="G817" s="1">
        <v>45676</v>
      </c>
      <c r="H817" s="1">
        <v>45688</v>
      </c>
      <c r="I817" s="1" t="str">
        <f>TEXT(Table1[[#This Row],[Admission Date]],"MMMM")</f>
        <v>January</v>
      </c>
      <c r="J817">
        <v>12</v>
      </c>
      <c r="K817">
        <v>116772</v>
      </c>
    </row>
    <row r="818" spans="1:11" x14ac:dyDescent="0.3">
      <c r="A818" t="s">
        <v>996</v>
      </c>
      <c r="B818" t="s">
        <v>367</v>
      </c>
      <c r="C818">
        <v>39</v>
      </c>
      <c r="D818" t="s">
        <v>13</v>
      </c>
      <c r="E818" t="s">
        <v>14</v>
      </c>
      <c r="F818" t="s">
        <v>28</v>
      </c>
      <c r="G818" s="1">
        <v>45906</v>
      </c>
      <c r="H818" s="1">
        <v>45911</v>
      </c>
      <c r="I818" s="1" t="str">
        <f>TEXT(Table1[[#This Row],[Admission Date]],"MMMM")</f>
        <v>September</v>
      </c>
      <c r="J818">
        <v>5</v>
      </c>
      <c r="K818">
        <v>26745</v>
      </c>
    </row>
    <row r="819" spans="1:11" x14ac:dyDescent="0.3">
      <c r="A819" t="s">
        <v>997</v>
      </c>
      <c r="B819" t="s">
        <v>131</v>
      </c>
      <c r="C819">
        <v>20</v>
      </c>
      <c r="D819" t="s">
        <v>13</v>
      </c>
      <c r="E819" t="s">
        <v>14</v>
      </c>
      <c r="F819" t="s">
        <v>28</v>
      </c>
      <c r="G819" s="1">
        <v>45709</v>
      </c>
      <c r="H819" s="1">
        <v>45716</v>
      </c>
      <c r="I819" s="1" t="str">
        <f>TEXT(Table1[[#This Row],[Admission Date]],"MMMM")</f>
        <v>February</v>
      </c>
      <c r="J819">
        <v>7</v>
      </c>
      <c r="K819">
        <v>38738</v>
      </c>
    </row>
    <row r="820" spans="1:11" x14ac:dyDescent="0.3">
      <c r="A820" t="s">
        <v>998</v>
      </c>
      <c r="B820" t="s">
        <v>313</v>
      </c>
      <c r="C820">
        <v>86</v>
      </c>
      <c r="D820" t="s">
        <v>18</v>
      </c>
      <c r="E820" t="s">
        <v>34</v>
      </c>
      <c r="F820" t="s">
        <v>15</v>
      </c>
      <c r="G820" s="1">
        <v>45923</v>
      </c>
      <c r="H820" s="1">
        <v>45924</v>
      </c>
      <c r="I820" s="1" t="str">
        <f>TEXT(Table1[[#This Row],[Admission Date]],"MMMM")</f>
        <v>September</v>
      </c>
      <c r="J820">
        <v>1</v>
      </c>
      <c r="K820">
        <v>4917</v>
      </c>
    </row>
    <row r="821" spans="1:11" x14ac:dyDescent="0.3">
      <c r="A821" t="s">
        <v>999</v>
      </c>
      <c r="B821" t="s">
        <v>73</v>
      </c>
      <c r="C821">
        <v>33</v>
      </c>
      <c r="D821" t="s">
        <v>13</v>
      </c>
      <c r="E821" t="s">
        <v>34</v>
      </c>
      <c r="F821" t="s">
        <v>35</v>
      </c>
      <c r="G821" s="1">
        <v>45990</v>
      </c>
      <c r="H821" s="1">
        <v>46005</v>
      </c>
      <c r="I821" s="1" t="str">
        <f>TEXT(Table1[[#This Row],[Admission Date]],"MMMM")</f>
        <v>November</v>
      </c>
      <c r="J821">
        <v>15</v>
      </c>
      <c r="K821">
        <v>86550</v>
      </c>
    </row>
    <row r="822" spans="1:11" x14ac:dyDescent="0.3">
      <c r="A822" t="s">
        <v>1000</v>
      </c>
      <c r="B822" t="s">
        <v>551</v>
      </c>
      <c r="C822">
        <v>78</v>
      </c>
      <c r="D822" t="s">
        <v>18</v>
      </c>
      <c r="E822" t="s">
        <v>19</v>
      </c>
      <c r="F822" t="s">
        <v>15</v>
      </c>
      <c r="G822" s="1">
        <v>45700</v>
      </c>
      <c r="H822" s="1">
        <v>45710</v>
      </c>
      <c r="I822" s="1" t="str">
        <f>TEXT(Table1[[#This Row],[Admission Date]],"MMMM")</f>
        <v>February</v>
      </c>
      <c r="J822">
        <v>10</v>
      </c>
      <c r="K822">
        <v>40790</v>
      </c>
    </row>
    <row r="823" spans="1:11" x14ac:dyDescent="0.3">
      <c r="A823" t="s">
        <v>1001</v>
      </c>
      <c r="B823" t="s">
        <v>172</v>
      </c>
      <c r="C823">
        <v>5</v>
      </c>
      <c r="D823" t="s">
        <v>18</v>
      </c>
      <c r="E823" t="s">
        <v>40</v>
      </c>
      <c r="F823" t="s">
        <v>60</v>
      </c>
      <c r="G823" s="1">
        <v>45909</v>
      </c>
      <c r="H823" s="1">
        <v>45914</v>
      </c>
      <c r="I823" s="1" t="str">
        <f>TEXT(Table1[[#This Row],[Admission Date]],"MMMM")</f>
        <v>September</v>
      </c>
      <c r="J823">
        <v>5</v>
      </c>
      <c r="K823">
        <v>36245</v>
      </c>
    </row>
    <row r="824" spans="1:11" x14ac:dyDescent="0.3">
      <c r="A824" t="s">
        <v>1002</v>
      </c>
      <c r="B824" t="s">
        <v>335</v>
      </c>
      <c r="C824">
        <v>2</v>
      </c>
      <c r="D824" t="s">
        <v>13</v>
      </c>
      <c r="E824" t="s">
        <v>31</v>
      </c>
      <c r="F824" t="s">
        <v>28</v>
      </c>
      <c r="G824" s="1">
        <v>45707</v>
      </c>
      <c r="H824" s="1">
        <v>45715</v>
      </c>
      <c r="I824" s="1" t="str">
        <f>TEXT(Table1[[#This Row],[Admission Date]],"MMMM")</f>
        <v>February</v>
      </c>
      <c r="J824">
        <v>8</v>
      </c>
      <c r="K824">
        <v>82880</v>
      </c>
    </row>
    <row r="825" spans="1:11" x14ac:dyDescent="0.3">
      <c r="A825" t="s">
        <v>1003</v>
      </c>
      <c r="B825" t="s">
        <v>90</v>
      </c>
      <c r="C825">
        <v>84</v>
      </c>
      <c r="D825" t="s">
        <v>18</v>
      </c>
      <c r="E825" t="s">
        <v>40</v>
      </c>
      <c r="F825" t="s">
        <v>60</v>
      </c>
      <c r="G825" s="1">
        <v>45761</v>
      </c>
      <c r="H825" s="1">
        <v>45775</v>
      </c>
      <c r="I825" s="1" t="str">
        <f>TEXT(Table1[[#This Row],[Admission Date]],"MMMM")</f>
        <v>April</v>
      </c>
      <c r="J825">
        <v>14</v>
      </c>
      <c r="K825">
        <v>103502</v>
      </c>
    </row>
    <row r="826" spans="1:11" x14ac:dyDescent="0.3">
      <c r="A826" t="s">
        <v>1004</v>
      </c>
      <c r="B826" t="s">
        <v>218</v>
      </c>
      <c r="C826">
        <v>27</v>
      </c>
      <c r="D826" t="s">
        <v>18</v>
      </c>
      <c r="E826" t="s">
        <v>19</v>
      </c>
      <c r="F826" t="s">
        <v>15</v>
      </c>
      <c r="G826" s="1">
        <v>45807</v>
      </c>
      <c r="H826" s="1">
        <v>45822</v>
      </c>
      <c r="I826" s="1" t="str">
        <f>TEXT(Table1[[#This Row],[Admission Date]],"MMMM")</f>
        <v>May</v>
      </c>
      <c r="J826">
        <v>15</v>
      </c>
      <c r="K826">
        <v>105075</v>
      </c>
    </row>
    <row r="827" spans="1:11" x14ac:dyDescent="0.3">
      <c r="A827" t="s">
        <v>1005</v>
      </c>
      <c r="B827" t="s">
        <v>210</v>
      </c>
      <c r="C827">
        <v>11</v>
      </c>
      <c r="D827" t="s">
        <v>18</v>
      </c>
      <c r="E827" t="s">
        <v>23</v>
      </c>
      <c r="F827" t="s">
        <v>15</v>
      </c>
      <c r="G827" s="1">
        <v>45986</v>
      </c>
      <c r="H827" s="1">
        <v>46001</v>
      </c>
      <c r="I827" s="1" t="str">
        <f>TEXT(Table1[[#This Row],[Admission Date]],"MMMM")</f>
        <v>November</v>
      </c>
      <c r="J827">
        <v>15</v>
      </c>
      <c r="K827">
        <v>142875</v>
      </c>
    </row>
    <row r="828" spans="1:11" x14ac:dyDescent="0.3">
      <c r="A828" t="s">
        <v>1006</v>
      </c>
      <c r="B828" t="s">
        <v>436</v>
      </c>
      <c r="C828">
        <v>3</v>
      </c>
      <c r="D828" t="s">
        <v>18</v>
      </c>
      <c r="E828" t="s">
        <v>34</v>
      </c>
      <c r="F828" t="s">
        <v>43</v>
      </c>
      <c r="G828" s="1">
        <v>45940</v>
      </c>
      <c r="H828" s="1">
        <v>45951</v>
      </c>
      <c r="I828" s="1" t="str">
        <f>TEXT(Table1[[#This Row],[Admission Date]],"MMMM")</f>
        <v>October</v>
      </c>
      <c r="J828">
        <v>11</v>
      </c>
      <c r="K828">
        <v>51854</v>
      </c>
    </row>
    <row r="829" spans="1:11" x14ac:dyDescent="0.3">
      <c r="A829" t="s">
        <v>1007</v>
      </c>
      <c r="B829" t="s">
        <v>210</v>
      </c>
      <c r="C829">
        <v>80</v>
      </c>
      <c r="D829" t="s">
        <v>18</v>
      </c>
      <c r="E829" t="s">
        <v>19</v>
      </c>
      <c r="F829" t="s">
        <v>20</v>
      </c>
      <c r="G829" s="1">
        <v>45731</v>
      </c>
      <c r="H829" s="1">
        <v>45740</v>
      </c>
      <c r="I829" s="1" t="str">
        <f>TEXT(Table1[[#This Row],[Admission Date]],"MMMM")</f>
        <v>March</v>
      </c>
      <c r="J829">
        <v>9</v>
      </c>
      <c r="K829">
        <v>101448</v>
      </c>
    </row>
    <row r="830" spans="1:11" x14ac:dyDescent="0.3">
      <c r="A830" t="s">
        <v>1008</v>
      </c>
      <c r="B830" t="s">
        <v>39</v>
      </c>
      <c r="C830">
        <v>50</v>
      </c>
      <c r="D830" t="s">
        <v>13</v>
      </c>
      <c r="E830" t="s">
        <v>103</v>
      </c>
      <c r="F830" t="s">
        <v>20</v>
      </c>
      <c r="G830" s="1">
        <v>45784</v>
      </c>
      <c r="H830" s="1">
        <v>45793</v>
      </c>
      <c r="I830" s="1" t="str">
        <f>TEXT(Table1[[#This Row],[Admission Date]],"MMMM")</f>
        <v>May</v>
      </c>
      <c r="J830">
        <v>9</v>
      </c>
      <c r="K830">
        <v>89802</v>
      </c>
    </row>
    <row r="831" spans="1:11" x14ac:dyDescent="0.3">
      <c r="A831" t="s">
        <v>1009</v>
      </c>
      <c r="B831" t="s">
        <v>177</v>
      </c>
      <c r="C831">
        <v>13</v>
      </c>
      <c r="D831" t="s">
        <v>18</v>
      </c>
      <c r="E831" t="s">
        <v>14</v>
      </c>
      <c r="F831" t="s">
        <v>24</v>
      </c>
      <c r="G831" s="1">
        <v>45951</v>
      </c>
      <c r="H831" s="1">
        <v>45966</v>
      </c>
      <c r="I831" s="1" t="str">
        <f>TEXT(Table1[[#This Row],[Admission Date]],"MMMM")</f>
        <v>October</v>
      </c>
      <c r="J831">
        <v>15</v>
      </c>
      <c r="K831">
        <v>123870</v>
      </c>
    </row>
    <row r="832" spans="1:11" x14ac:dyDescent="0.3">
      <c r="A832" t="s">
        <v>1010</v>
      </c>
      <c r="B832" t="s">
        <v>335</v>
      </c>
      <c r="C832">
        <v>88</v>
      </c>
      <c r="D832" t="s">
        <v>13</v>
      </c>
      <c r="E832" t="s">
        <v>27</v>
      </c>
      <c r="F832" t="s">
        <v>43</v>
      </c>
      <c r="G832" s="1">
        <v>45739</v>
      </c>
      <c r="H832" s="1">
        <v>45742</v>
      </c>
      <c r="I832" s="1" t="str">
        <f>TEXT(Table1[[#This Row],[Admission Date]],"MMMM")</f>
        <v>March</v>
      </c>
      <c r="J832">
        <v>3</v>
      </c>
      <c r="K832">
        <v>26916</v>
      </c>
    </row>
    <row r="833" spans="1:11" x14ac:dyDescent="0.3">
      <c r="A833" t="s">
        <v>1011</v>
      </c>
      <c r="B833" t="s">
        <v>472</v>
      </c>
      <c r="C833">
        <v>16</v>
      </c>
      <c r="D833" t="s">
        <v>18</v>
      </c>
      <c r="E833" t="s">
        <v>49</v>
      </c>
      <c r="F833" t="s">
        <v>35</v>
      </c>
      <c r="G833" s="1">
        <v>46016</v>
      </c>
      <c r="H833" s="1">
        <v>46023</v>
      </c>
      <c r="I833" s="1" t="str">
        <f>TEXT(Table1[[#This Row],[Admission Date]],"MMMM")</f>
        <v>December</v>
      </c>
      <c r="J833">
        <v>7</v>
      </c>
      <c r="K833">
        <v>40978</v>
      </c>
    </row>
    <row r="834" spans="1:11" x14ac:dyDescent="0.3">
      <c r="A834" t="s">
        <v>1012</v>
      </c>
      <c r="B834" t="s">
        <v>90</v>
      </c>
      <c r="C834">
        <v>15</v>
      </c>
      <c r="D834" t="s">
        <v>18</v>
      </c>
      <c r="E834" t="s">
        <v>40</v>
      </c>
      <c r="F834" t="s">
        <v>28</v>
      </c>
      <c r="G834" s="1">
        <v>45722</v>
      </c>
      <c r="H834" s="1">
        <v>45725</v>
      </c>
      <c r="I834" s="1" t="str">
        <f>TEXT(Table1[[#This Row],[Admission Date]],"MMMM")</f>
        <v>March</v>
      </c>
      <c r="J834">
        <v>3</v>
      </c>
      <c r="K834">
        <v>15237</v>
      </c>
    </row>
    <row r="835" spans="1:11" x14ac:dyDescent="0.3">
      <c r="A835" t="s">
        <v>1013</v>
      </c>
      <c r="B835" t="s">
        <v>580</v>
      </c>
      <c r="C835">
        <v>9</v>
      </c>
      <c r="D835" t="s">
        <v>13</v>
      </c>
      <c r="E835" t="s">
        <v>34</v>
      </c>
      <c r="F835" t="s">
        <v>35</v>
      </c>
      <c r="G835" s="1">
        <v>45812</v>
      </c>
      <c r="H835" s="1">
        <v>45814</v>
      </c>
      <c r="I835" s="1" t="str">
        <f>TEXT(Table1[[#This Row],[Admission Date]],"MMMM")</f>
        <v>June</v>
      </c>
      <c r="J835">
        <v>2</v>
      </c>
      <c r="K835">
        <v>17788</v>
      </c>
    </row>
    <row r="836" spans="1:11" x14ac:dyDescent="0.3">
      <c r="A836" t="s">
        <v>1014</v>
      </c>
      <c r="B836" t="s">
        <v>346</v>
      </c>
      <c r="C836">
        <v>65</v>
      </c>
      <c r="D836" t="s">
        <v>18</v>
      </c>
      <c r="E836" t="s">
        <v>23</v>
      </c>
      <c r="F836" t="s">
        <v>24</v>
      </c>
      <c r="G836" s="1">
        <v>45892</v>
      </c>
      <c r="H836" s="1">
        <v>45901</v>
      </c>
      <c r="I836" s="1" t="str">
        <f>TEXT(Table1[[#This Row],[Admission Date]],"MMMM")</f>
        <v>August</v>
      </c>
      <c r="J836">
        <v>9</v>
      </c>
      <c r="K836">
        <v>97650</v>
      </c>
    </row>
    <row r="837" spans="1:11" x14ac:dyDescent="0.3">
      <c r="A837" t="s">
        <v>1015</v>
      </c>
      <c r="B837" t="s">
        <v>289</v>
      </c>
      <c r="C837">
        <v>58</v>
      </c>
      <c r="D837" t="s">
        <v>18</v>
      </c>
      <c r="E837" t="s">
        <v>23</v>
      </c>
      <c r="F837" t="s">
        <v>43</v>
      </c>
      <c r="G837" s="1">
        <v>45755</v>
      </c>
      <c r="H837" s="1">
        <v>45769</v>
      </c>
      <c r="I837" s="1" t="str">
        <f>TEXT(Table1[[#This Row],[Admission Date]],"MMMM")</f>
        <v>April</v>
      </c>
      <c r="J837">
        <v>14</v>
      </c>
      <c r="K837">
        <v>79352</v>
      </c>
    </row>
    <row r="838" spans="1:11" x14ac:dyDescent="0.3">
      <c r="A838" t="s">
        <v>1016</v>
      </c>
      <c r="B838" t="s">
        <v>468</v>
      </c>
      <c r="C838">
        <v>82</v>
      </c>
      <c r="D838" t="s">
        <v>18</v>
      </c>
      <c r="E838" t="s">
        <v>23</v>
      </c>
      <c r="F838" t="s">
        <v>63</v>
      </c>
      <c r="G838" s="1">
        <v>45751</v>
      </c>
      <c r="H838" s="1">
        <v>45759</v>
      </c>
      <c r="I838" s="1" t="str">
        <f>TEXT(Table1[[#This Row],[Admission Date]],"MMMM")</f>
        <v>April</v>
      </c>
      <c r="J838">
        <v>8</v>
      </c>
      <c r="K838">
        <v>46616</v>
      </c>
    </row>
    <row r="839" spans="1:11" x14ac:dyDescent="0.3">
      <c r="A839" t="s">
        <v>1017</v>
      </c>
      <c r="B839" t="s">
        <v>92</v>
      </c>
      <c r="C839">
        <v>68</v>
      </c>
      <c r="D839" t="s">
        <v>18</v>
      </c>
      <c r="E839" t="s">
        <v>46</v>
      </c>
      <c r="F839" t="s">
        <v>20</v>
      </c>
      <c r="G839" s="1">
        <v>45983</v>
      </c>
      <c r="H839" s="1">
        <v>45995</v>
      </c>
      <c r="I839" s="1" t="str">
        <f>TEXT(Table1[[#This Row],[Admission Date]],"MMMM")</f>
        <v>November</v>
      </c>
      <c r="J839">
        <v>12</v>
      </c>
      <c r="K839">
        <v>86508</v>
      </c>
    </row>
    <row r="840" spans="1:11" x14ac:dyDescent="0.3">
      <c r="A840" t="s">
        <v>1018</v>
      </c>
      <c r="B840" t="s">
        <v>110</v>
      </c>
      <c r="C840">
        <v>22</v>
      </c>
      <c r="D840" t="s">
        <v>13</v>
      </c>
      <c r="E840" t="s">
        <v>23</v>
      </c>
      <c r="F840" t="s">
        <v>20</v>
      </c>
      <c r="G840" s="1">
        <v>45735</v>
      </c>
      <c r="H840" s="1">
        <v>45750</v>
      </c>
      <c r="I840" s="1" t="str">
        <f>TEXT(Table1[[#This Row],[Admission Date]],"MMMM")</f>
        <v>March</v>
      </c>
      <c r="J840">
        <v>15</v>
      </c>
      <c r="K840">
        <v>80880</v>
      </c>
    </row>
    <row r="841" spans="1:11" x14ac:dyDescent="0.3">
      <c r="A841" t="s">
        <v>1019</v>
      </c>
      <c r="B841" t="s">
        <v>298</v>
      </c>
      <c r="C841">
        <v>76</v>
      </c>
      <c r="D841" t="s">
        <v>18</v>
      </c>
      <c r="E841" t="s">
        <v>27</v>
      </c>
      <c r="F841" t="s">
        <v>60</v>
      </c>
      <c r="G841" s="1">
        <v>45731</v>
      </c>
      <c r="H841" s="1">
        <v>45740</v>
      </c>
      <c r="I841" s="1" t="str">
        <f>TEXT(Table1[[#This Row],[Admission Date]],"MMMM")</f>
        <v>March</v>
      </c>
      <c r="J841">
        <v>9</v>
      </c>
      <c r="K841">
        <v>57294</v>
      </c>
    </row>
    <row r="842" spans="1:11" x14ac:dyDescent="0.3">
      <c r="A842" t="s">
        <v>1020</v>
      </c>
      <c r="B842" t="s">
        <v>101</v>
      </c>
      <c r="C842">
        <v>85</v>
      </c>
      <c r="D842" t="s">
        <v>13</v>
      </c>
      <c r="E842" t="s">
        <v>46</v>
      </c>
      <c r="F842" t="s">
        <v>15</v>
      </c>
      <c r="G842" s="1">
        <v>46004</v>
      </c>
      <c r="H842" s="1">
        <v>46005</v>
      </c>
      <c r="I842" s="1" t="str">
        <f>TEXT(Table1[[#This Row],[Admission Date]],"MMMM")</f>
        <v>December</v>
      </c>
      <c r="J842">
        <v>1</v>
      </c>
      <c r="K842">
        <v>10835</v>
      </c>
    </row>
    <row r="843" spans="1:11" x14ac:dyDescent="0.3">
      <c r="A843" t="s">
        <v>1021</v>
      </c>
      <c r="B843" t="s">
        <v>265</v>
      </c>
      <c r="C843">
        <v>54</v>
      </c>
      <c r="D843" t="s">
        <v>13</v>
      </c>
      <c r="E843" t="s">
        <v>40</v>
      </c>
      <c r="F843" t="s">
        <v>20</v>
      </c>
      <c r="G843" s="1">
        <v>45977</v>
      </c>
      <c r="H843" s="1">
        <v>45981</v>
      </c>
      <c r="I843" s="1" t="str">
        <f>TEXT(Table1[[#This Row],[Admission Date]],"MMMM")</f>
        <v>November</v>
      </c>
      <c r="J843">
        <v>4</v>
      </c>
      <c r="K843">
        <v>22432</v>
      </c>
    </row>
    <row r="844" spans="1:11" x14ac:dyDescent="0.3">
      <c r="A844" t="s">
        <v>1022</v>
      </c>
      <c r="B844" t="s">
        <v>165</v>
      </c>
      <c r="C844">
        <v>22</v>
      </c>
      <c r="D844" t="s">
        <v>18</v>
      </c>
      <c r="E844" t="s">
        <v>31</v>
      </c>
      <c r="F844" t="s">
        <v>24</v>
      </c>
      <c r="G844" s="1">
        <v>45842</v>
      </c>
      <c r="H844" s="1">
        <v>45850</v>
      </c>
      <c r="I844" s="1" t="str">
        <f>TEXT(Table1[[#This Row],[Admission Date]],"MMMM")</f>
        <v>July</v>
      </c>
      <c r="J844">
        <v>8</v>
      </c>
      <c r="K844">
        <v>59424</v>
      </c>
    </row>
    <row r="845" spans="1:11" x14ac:dyDescent="0.3">
      <c r="A845" t="s">
        <v>1023</v>
      </c>
      <c r="B845" t="s">
        <v>221</v>
      </c>
      <c r="C845">
        <v>31</v>
      </c>
      <c r="D845" t="s">
        <v>18</v>
      </c>
      <c r="E845" t="s">
        <v>46</v>
      </c>
      <c r="F845" t="s">
        <v>24</v>
      </c>
      <c r="G845" s="1">
        <v>45925</v>
      </c>
      <c r="H845" s="1">
        <v>45933</v>
      </c>
      <c r="I845" s="1" t="str">
        <f>TEXT(Table1[[#This Row],[Admission Date]],"MMMM")</f>
        <v>September</v>
      </c>
      <c r="J845">
        <v>8</v>
      </c>
      <c r="K845">
        <v>82504</v>
      </c>
    </row>
    <row r="846" spans="1:11" x14ac:dyDescent="0.3">
      <c r="A846" t="s">
        <v>1024</v>
      </c>
      <c r="B846" t="s">
        <v>446</v>
      </c>
      <c r="C846">
        <v>44</v>
      </c>
      <c r="D846" t="s">
        <v>13</v>
      </c>
      <c r="E846" t="s">
        <v>46</v>
      </c>
      <c r="F846" t="s">
        <v>60</v>
      </c>
      <c r="G846" s="1">
        <v>45973</v>
      </c>
      <c r="H846" s="1">
        <v>45975</v>
      </c>
      <c r="I846" s="1" t="str">
        <f>TEXT(Table1[[#This Row],[Admission Date]],"MMMM")</f>
        <v>November</v>
      </c>
      <c r="J846">
        <v>2</v>
      </c>
      <c r="K846">
        <v>13052</v>
      </c>
    </row>
    <row r="847" spans="1:11" x14ac:dyDescent="0.3">
      <c r="A847" t="s">
        <v>1025</v>
      </c>
      <c r="B847" t="s">
        <v>126</v>
      </c>
      <c r="C847">
        <v>84</v>
      </c>
      <c r="D847" t="s">
        <v>18</v>
      </c>
      <c r="E847" t="s">
        <v>49</v>
      </c>
      <c r="F847" t="s">
        <v>43</v>
      </c>
      <c r="G847" s="1">
        <v>45869</v>
      </c>
      <c r="H847" s="1">
        <v>45877</v>
      </c>
      <c r="I847" s="1" t="str">
        <f>TEXT(Table1[[#This Row],[Admission Date]],"MMMM")</f>
        <v>July</v>
      </c>
      <c r="J847">
        <v>8</v>
      </c>
      <c r="K847">
        <v>86608</v>
      </c>
    </row>
    <row r="848" spans="1:11" x14ac:dyDescent="0.3">
      <c r="A848" t="s">
        <v>1026</v>
      </c>
      <c r="B848" t="s">
        <v>145</v>
      </c>
      <c r="C848">
        <v>74</v>
      </c>
      <c r="D848" t="s">
        <v>18</v>
      </c>
      <c r="E848" t="s">
        <v>49</v>
      </c>
      <c r="F848" t="s">
        <v>63</v>
      </c>
      <c r="G848" s="1">
        <v>45862</v>
      </c>
      <c r="H848" s="1">
        <v>45876</v>
      </c>
      <c r="I848" s="1" t="str">
        <f>TEXT(Table1[[#This Row],[Admission Date]],"MMMM")</f>
        <v>July</v>
      </c>
      <c r="J848">
        <v>14</v>
      </c>
      <c r="K848">
        <v>139188</v>
      </c>
    </row>
    <row r="849" spans="1:11" x14ac:dyDescent="0.3">
      <c r="A849" t="s">
        <v>1027</v>
      </c>
      <c r="B849" t="s">
        <v>87</v>
      </c>
      <c r="C849">
        <v>59</v>
      </c>
      <c r="D849" t="s">
        <v>13</v>
      </c>
      <c r="E849" t="s">
        <v>23</v>
      </c>
      <c r="F849" t="s">
        <v>28</v>
      </c>
      <c r="G849" s="1">
        <v>45979</v>
      </c>
      <c r="H849" s="1">
        <v>45990</v>
      </c>
      <c r="I849" s="1" t="str">
        <f>TEXT(Table1[[#This Row],[Admission Date]],"MMMM")</f>
        <v>November</v>
      </c>
      <c r="J849">
        <v>11</v>
      </c>
      <c r="K849">
        <v>51777</v>
      </c>
    </row>
    <row r="850" spans="1:11" x14ac:dyDescent="0.3">
      <c r="A850" t="s">
        <v>1028</v>
      </c>
      <c r="B850" t="s">
        <v>252</v>
      </c>
      <c r="C850">
        <v>27</v>
      </c>
      <c r="D850" t="s">
        <v>13</v>
      </c>
      <c r="E850" t="s">
        <v>23</v>
      </c>
      <c r="F850" t="s">
        <v>28</v>
      </c>
      <c r="G850" s="1">
        <v>45809</v>
      </c>
      <c r="H850" s="1">
        <v>45816</v>
      </c>
      <c r="I850" s="1" t="str">
        <f>TEXT(Table1[[#This Row],[Admission Date]],"MMMM")</f>
        <v>June</v>
      </c>
      <c r="J850">
        <v>7</v>
      </c>
      <c r="K850">
        <v>60368</v>
      </c>
    </row>
    <row r="851" spans="1:11" x14ac:dyDescent="0.3">
      <c r="A851" t="s">
        <v>1029</v>
      </c>
      <c r="B851" t="s">
        <v>274</v>
      </c>
      <c r="C851">
        <v>88</v>
      </c>
      <c r="D851" t="s">
        <v>13</v>
      </c>
      <c r="E851" t="s">
        <v>34</v>
      </c>
      <c r="F851" t="s">
        <v>60</v>
      </c>
      <c r="G851" s="1">
        <v>45808</v>
      </c>
      <c r="H851" s="1">
        <v>45820</v>
      </c>
      <c r="I851" s="1" t="str">
        <f>TEXT(Table1[[#This Row],[Admission Date]],"MMMM")</f>
        <v>May</v>
      </c>
      <c r="J851">
        <v>12</v>
      </c>
      <c r="K851">
        <v>53004</v>
      </c>
    </row>
    <row r="852" spans="1:11" x14ac:dyDescent="0.3">
      <c r="A852" t="s">
        <v>1030</v>
      </c>
      <c r="B852" t="s">
        <v>354</v>
      </c>
      <c r="C852">
        <v>54</v>
      </c>
      <c r="D852" t="s">
        <v>13</v>
      </c>
      <c r="E852" t="s">
        <v>27</v>
      </c>
      <c r="F852" t="s">
        <v>28</v>
      </c>
      <c r="G852" s="1">
        <v>45673</v>
      </c>
      <c r="H852" s="1">
        <v>45675</v>
      </c>
      <c r="I852" s="1" t="str">
        <f>TEXT(Table1[[#This Row],[Admission Date]],"MMMM")</f>
        <v>January</v>
      </c>
      <c r="J852">
        <v>2</v>
      </c>
      <c r="K852">
        <v>12604</v>
      </c>
    </row>
    <row r="853" spans="1:11" x14ac:dyDescent="0.3">
      <c r="A853" t="s">
        <v>1031</v>
      </c>
      <c r="B853" t="s">
        <v>468</v>
      </c>
      <c r="C853">
        <v>14</v>
      </c>
      <c r="D853" t="s">
        <v>18</v>
      </c>
      <c r="E853" t="s">
        <v>31</v>
      </c>
      <c r="F853" t="s">
        <v>60</v>
      </c>
      <c r="G853" s="1">
        <v>45692</v>
      </c>
      <c r="H853" s="1">
        <v>45702</v>
      </c>
      <c r="I853" s="1" t="str">
        <f>TEXT(Table1[[#This Row],[Admission Date]],"MMMM")</f>
        <v>February</v>
      </c>
      <c r="J853">
        <v>10</v>
      </c>
      <c r="K853">
        <v>71500</v>
      </c>
    </row>
    <row r="854" spans="1:11" x14ac:dyDescent="0.3">
      <c r="A854" t="s">
        <v>1032</v>
      </c>
      <c r="B854" t="s">
        <v>90</v>
      </c>
      <c r="C854">
        <v>68</v>
      </c>
      <c r="D854" t="s">
        <v>18</v>
      </c>
      <c r="E854" t="s">
        <v>31</v>
      </c>
      <c r="F854" t="s">
        <v>43</v>
      </c>
      <c r="G854" s="1">
        <v>45798</v>
      </c>
      <c r="H854" s="1">
        <v>45804</v>
      </c>
      <c r="I854" s="1" t="str">
        <f>TEXT(Table1[[#This Row],[Admission Date]],"MMMM")</f>
        <v>May</v>
      </c>
      <c r="J854">
        <v>6</v>
      </c>
      <c r="K854">
        <v>46854</v>
      </c>
    </row>
    <row r="855" spans="1:11" x14ac:dyDescent="0.3">
      <c r="A855" t="s">
        <v>1033</v>
      </c>
      <c r="B855" t="s">
        <v>302</v>
      </c>
      <c r="C855">
        <v>6</v>
      </c>
      <c r="D855" t="s">
        <v>18</v>
      </c>
      <c r="E855" t="s">
        <v>103</v>
      </c>
      <c r="F855" t="s">
        <v>60</v>
      </c>
      <c r="G855" s="1">
        <v>45801</v>
      </c>
      <c r="H855" s="1">
        <v>45805</v>
      </c>
      <c r="I855" s="1" t="str">
        <f>TEXT(Table1[[#This Row],[Admission Date]],"MMMM")</f>
        <v>May</v>
      </c>
      <c r="J855">
        <v>4</v>
      </c>
      <c r="K855">
        <v>19852</v>
      </c>
    </row>
    <row r="856" spans="1:11" x14ac:dyDescent="0.3">
      <c r="A856" t="s">
        <v>1034</v>
      </c>
      <c r="B856" t="s">
        <v>246</v>
      </c>
      <c r="C856">
        <v>5</v>
      </c>
      <c r="D856" t="s">
        <v>13</v>
      </c>
      <c r="E856" t="s">
        <v>31</v>
      </c>
      <c r="F856" t="s">
        <v>35</v>
      </c>
      <c r="G856" s="1">
        <v>45909</v>
      </c>
      <c r="H856" s="1">
        <v>45917</v>
      </c>
      <c r="I856" s="1" t="str">
        <f>TEXT(Table1[[#This Row],[Admission Date]],"MMMM")</f>
        <v>September</v>
      </c>
      <c r="J856">
        <v>8</v>
      </c>
      <c r="K856">
        <v>51592</v>
      </c>
    </row>
    <row r="857" spans="1:11" x14ac:dyDescent="0.3">
      <c r="A857" t="s">
        <v>1035</v>
      </c>
      <c r="B857" t="s">
        <v>51</v>
      </c>
      <c r="C857">
        <v>31</v>
      </c>
      <c r="D857" t="s">
        <v>13</v>
      </c>
      <c r="E857" t="s">
        <v>27</v>
      </c>
      <c r="F857" t="s">
        <v>60</v>
      </c>
      <c r="G857" s="1">
        <v>45662</v>
      </c>
      <c r="H857" s="1">
        <v>45671</v>
      </c>
      <c r="I857" s="1" t="str">
        <f>TEXT(Table1[[#This Row],[Admission Date]],"MMMM")</f>
        <v>January</v>
      </c>
      <c r="J857">
        <v>9</v>
      </c>
      <c r="K857">
        <v>48186</v>
      </c>
    </row>
    <row r="858" spans="1:11" x14ac:dyDescent="0.3">
      <c r="A858" t="s">
        <v>1036</v>
      </c>
      <c r="B858" t="s">
        <v>140</v>
      </c>
      <c r="C858">
        <v>58</v>
      </c>
      <c r="D858" t="s">
        <v>13</v>
      </c>
      <c r="E858" t="s">
        <v>49</v>
      </c>
      <c r="F858" t="s">
        <v>63</v>
      </c>
      <c r="G858" s="1">
        <v>45962</v>
      </c>
      <c r="H858" s="1">
        <v>45965</v>
      </c>
      <c r="I858" s="1" t="str">
        <f>TEXT(Table1[[#This Row],[Admission Date]],"MMMM")</f>
        <v>November</v>
      </c>
      <c r="J858">
        <v>3</v>
      </c>
      <c r="K858">
        <v>23580</v>
      </c>
    </row>
    <row r="859" spans="1:11" x14ac:dyDescent="0.3">
      <c r="A859" t="s">
        <v>1037</v>
      </c>
      <c r="B859" t="s">
        <v>55</v>
      </c>
      <c r="C859">
        <v>10</v>
      </c>
      <c r="D859" t="s">
        <v>13</v>
      </c>
      <c r="E859" t="s">
        <v>103</v>
      </c>
      <c r="F859" t="s">
        <v>63</v>
      </c>
      <c r="G859" s="1">
        <v>45852</v>
      </c>
      <c r="H859" s="1">
        <v>45854</v>
      </c>
      <c r="I859" s="1" t="str">
        <f>TEXT(Table1[[#This Row],[Admission Date]],"MMMM")</f>
        <v>July</v>
      </c>
      <c r="J859">
        <v>2</v>
      </c>
      <c r="K859">
        <v>11326</v>
      </c>
    </row>
    <row r="860" spans="1:11" x14ac:dyDescent="0.3">
      <c r="A860" t="s">
        <v>1038</v>
      </c>
      <c r="B860" t="s">
        <v>242</v>
      </c>
      <c r="C860">
        <v>33</v>
      </c>
      <c r="D860" t="s">
        <v>13</v>
      </c>
      <c r="E860" t="s">
        <v>49</v>
      </c>
      <c r="F860" t="s">
        <v>20</v>
      </c>
      <c r="G860" s="1">
        <v>45987</v>
      </c>
      <c r="H860" s="1">
        <v>46000</v>
      </c>
      <c r="I860" s="1" t="str">
        <f>TEXT(Table1[[#This Row],[Admission Date]],"MMMM")</f>
        <v>November</v>
      </c>
      <c r="J860">
        <v>13</v>
      </c>
      <c r="K860">
        <v>145535</v>
      </c>
    </row>
    <row r="861" spans="1:11" x14ac:dyDescent="0.3">
      <c r="A861" t="s">
        <v>1039</v>
      </c>
      <c r="B861" t="s">
        <v>128</v>
      </c>
      <c r="C861">
        <v>72</v>
      </c>
      <c r="D861" t="s">
        <v>18</v>
      </c>
      <c r="E861" t="s">
        <v>27</v>
      </c>
      <c r="F861" t="s">
        <v>35</v>
      </c>
      <c r="G861" s="1">
        <v>45898</v>
      </c>
      <c r="H861" s="1">
        <v>45903</v>
      </c>
      <c r="I861" s="1" t="str">
        <f>TEXT(Table1[[#This Row],[Admission Date]],"MMMM")</f>
        <v>August</v>
      </c>
      <c r="J861">
        <v>5</v>
      </c>
      <c r="K861">
        <v>20170</v>
      </c>
    </row>
    <row r="862" spans="1:11" x14ac:dyDescent="0.3">
      <c r="A862" t="s">
        <v>1040</v>
      </c>
      <c r="B862" t="s">
        <v>237</v>
      </c>
      <c r="C862">
        <v>41</v>
      </c>
      <c r="D862" t="s">
        <v>13</v>
      </c>
      <c r="E862" t="s">
        <v>46</v>
      </c>
      <c r="F862" t="s">
        <v>63</v>
      </c>
      <c r="G862" s="1">
        <v>45875</v>
      </c>
      <c r="H862" s="1">
        <v>45881</v>
      </c>
      <c r="I862" s="1" t="str">
        <f>TEXT(Table1[[#This Row],[Admission Date]],"MMMM")</f>
        <v>August</v>
      </c>
      <c r="J862">
        <v>6</v>
      </c>
      <c r="K862">
        <v>46104</v>
      </c>
    </row>
    <row r="863" spans="1:11" x14ac:dyDescent="0.3">
      <c r="A863" t="s">
        <v>1041</v>
      </c>
      <c r="B863" t="s">
        <v>250</v>
      </c>
      <c r="C863">
        <v>41</v>
      </c>
      <c r="D863" t="s">
        <v>13</v>
      </c>
      <c r="E863" t="s">
        <v>27</v>
      </c>
      <c r="F863" t="s">
        <v>43</v>
      </c>
      <c r="G863" s="1">
        <v>45727</v>
      </c>
      <c r="H863" s="1">
        <v>45736</v>
      </c>
      <c r="I863" s="1" t="str">
        <f>TEXT(Table1[[#This Row],[Admission Date]],"MMMM")</f>
        <v>March</v>
      </c>
      <c r="J863">
        <v>9</v>
      </c>
      <c r="K863">
        <v>66042</v>
      </c>
    </row>
    <row r="864" spans="1:11" x14ac:dyDescent="0.3">
      <c r="A864" t="s">
        <v>1042</v>
      </c>
      <c r="B864" t="s">
        <v>53</v>
      </c>
      <c r="C864">
        <v>39</v>
      </c>
      <c r="D864" t="s">
        <v>18</v>
      </c>
      <c r="E864" t="s">
        <v>49</v>
      </c>
      <c r="F864" t="s">
        <v>35</v>
      </c>
      <c r="G864" s="1">
        <v>45714</v>
      </c>
      <c r="H864" s="1">
        <v>45721</v>
      </c>
      <c r="I864" s="1" t="str">
        <f>TEXT(Table1[[#This Row],[Admission Date]],"MMMM")</f>
        <v>February</v>
      </c>
      <c r="J864">
        <v>7</v>
      </c>
      <c r="K864">
        <v>80283</v>
      </c>
    </row>
    <row r="865" spans="1:11" x14ac:dyDescent="0.3">
      <c r="A865" t="s">
        <v>1043</v>
      </c>
      <c r="B865" t="s">
        <v>691</v>
      </c>
      <c r="C865">
        <v>74</v>
      </c>
      <c r="D865" t="s">
        <v>13</v>
      </c>
      <c r="E865" t="s">
        <v>14</v>
      </c>
      <c r="F865" t="s">
        <v>63</v>
      </c>
      <c r="G865" s="1">
        <v>46022</v>
      </c>
      <c r="H865" s="1">
        <v>46025</v>
      </c>
      <c r="I865" s="1" t="str">
        <f>TEXT(Table1[[#This Row],[Admission Date]],"MMMM")</f>
        <v>December</v>
      </c>
      <c r="J865">
        <v>3</v>
      </c>
      <c r="K865">
        <v>12231</v>
      </c>
    </row>
    <row r="866" spans="1:11" x14ac:dyDescent="0.3">
      <c r="A866" t="s">
        <v>1044</v>
      </c>
      <c r="B866" t="s">
        <v>113</v>
      </c>
      <c r="C866">
        <v>90</v>
      </c>
      <c r="D866" t="s">
        <v>18</v>
      </c>
      <c r="E866" t="s">
        <v>34</v>
      </c>
      <c r="F866" t="s">
        <v>63</v>
      </c>
      <c r="G866" s="1">
        <v>45728</v>
      </c>
      <c r="H866" s="1">
        <v>45742</v>
      </c>
      <c r="I866" s="1" t="str">
        <f>TEXT(Table1[[#This Row],[Admission Date]],"MMMM")</f>
        <v>March</v>
      </c>
      <c r="J866">
        <v>14</v>
      </c>
      <c r="K866">
        <v>69076</v>
      </c>
    </row>
    <row r="867" spans="1:11" x14ac:dyDescent="0.3">
      <c r="A867" t="s">
        <v>1045</v>
      </c>
      <c r="B867" t="s">
        <v>354</v>
      </c>
      <c r="C867">
        <v>18</v>
      </c>
      <c r="D867" t="s">
        <v>13</v>
      </c>
      <c r="E867" t="s">
        <v>27</v>
      </c>
      <c r="F867" t="s">
        <v>15</v>
      </c>
      <c r="G867" s="1">
        <v>45743</v>
      </c>
      <c r="H867" s="1">
        <v>45751</v>
      </c>
      <c r="I867" s="1" t="str">
        <f>TEXT(Table1[[#This Row],[Admission Date]],"MMMM")</f>
        <v>March</v>
      </c>
      <c r="J867">
        <v>8</v>
      </c>
      <c r="K867">
        <v>39544</v>
      </c>
    </row>
    <row r="868" spans="1:11" x14ac:dyDescent="0.3">
      <c r="A868" t="s">
        <v>1046</v>
      </c>
      <c r="B868" t="s">
        <v>482</v>
      </c>
      <c r="C868">
        <v>36</v>
      </c>
      <c r="D868" t="s">
        <v>13</v>
      </c>
      <c r="E868" t="s">
        <v>19</v>
      </c>
      <c r="F868" t="s">
        <v>20</v>
      </c>
      <c r="G868" s="1">
        <v>45699</v>
      </c>
      <c r="H868" s="1">
        <v>45702</v>
      </c>
      <c r="I868" s="1" t="str">
        <f>TEXT(Table1[[#This Row],[Admission Date]],"MMMM")</f>
        <v>February</v>
      </c>
      <c r="J868">
        <v>3</v>
      </c>
      <c r="K868">
        <v>18330</v>
      </c>
    </row>
    <row r="869" spans="1:11" x14ac:dyDescent="0.3">
      <c r="A869" t="s">
        <v>1047</v>
      </c>
      <c r="B869" t="s">
        <v>67</v>
      </c>
      <c r="C869">
        <v>31</v>
      </c>
      <c r="D869" t="s">
        <v>13</v>
      </c>
      <c r="E869" t="s">
        <v>34</v>
      </c>
      <c r="F869" t="s">
        <v>24</v>
      </c>
      <c r="G869" s="1">
        <v>45673</v>
      </c>
      <c r="H869" s="1">
        <v>45686</v>
      </c>
      <c r="I869" s="1" t="str">
        <f>TEXT(Table1[[#This Row],[Admission Date]],"MMMM")</f>
        <v>January</v>
      </c>
      <c r="J869">
        <v>13</v>
      </c>
      <c r="K869">
        <v>79846</v>
      </c>
    </row>
    <row r="870" spans="1:11" x14ac:dyDescent="0.3">
      <c r="A870" t="s">
        <v>1048</v>
      </c>
      <c r="B870" t="s">
        <v>37</v>
      </c>
      <c r="C870">
        <v>4</v>
      </c>
      <c r="D870" t="s">
        <v>13</v>
      </c>
      <c r="E870" t="s">
        <v>34</v>
      </c>
      <c r="F870" t="s">
        <v>28</v>
      </c>
      <c r="G870" s="1">
        <v>45755</v>
      </c>
      <c r="H870" s="1">
        <v>45758</v>
      </c>
      <c r="I870" s="1" t="str">
        <f>TEXT(Table1[[#This Row],[Admission Date]],"MMMM")</f>
        <v>April</v>
      </c>
      <c r="J870">
        <v>3</v>
      </c>
      <c r="K870">
        <v>19236</v>
      </c>
    </row>
    <row r="871" spans="1:11" x14ac:dyDescent="0.3">
      <c r="A871" t="s">
        <v>1049</v>
      </c>
      <c r="B871" t="s">
        <v>382</v>
      </c>
      <c r="C871">
        <v>28</v>
      </c>
      <c r="D871" t="s">
        <v>13</v>
      </c>
      <c r="E871" t="s">
        <v>19</v>
      </c>
      <c r="F871" t="s">
        <v>43</v>
      </c>
      <c r="G871" s="1">
        <v>45695</v>
      </c>
      <c r="H871" s="1">
        <v>45705</v>
      </c>
      <c r="I871" s="1" t="str">
        <f>TEXT(Table1[[#This Row],[Admission Date]],"MMMM")</f>
        <v>February</v>
      </c>
      <c r="J871">
        <v>10</v>
      </c>
      <c r="K871">
        <v>57630</v>
      </c>
    </row>
    <row r="872" spans="1:11" x14ac:dyDescent="0.3">
      <c r="A872" t="s">
        <v>1050</v>
      </c>
      <c r="B872" t="s">
        <v>391</v>
      </c>
      <c r="C872">
        <v>17</v>
      </c>
      <c r="D872" t="s">
        <v>13</v>
      </c>
      <c r="E872" t="s">
        <v>19</v>
      </c>
      <c r="F872" t="s">
        <v>24</v>
      </c>
      <c r="G872" s="1">
        <v>45743</v>
      </c>
      <c r="H872" s="1">
        <v>45755</v>
      </c>
      <c r="I872" s="1" t="str">
        <f>TEXT(Table1[[#This Row],[Admission Date]],"MMMM")</f>
        <v>March</v>
      </c>
      <c r="J872">
        <v>12</v>
      </c>
      <c r="K872">
        <v>49452</v>
      </c>
    </row>
    <row r="873" spans="1:11" x14ac:dyDescent="0.3">
      <c r="A873" t="s">
        <v>1051</v>
      </c>
      <c r="B873" t="s">
        <v>276</v>
      </c>
      <c r="C873">
        <v>15</v>
      </c>
      <c r="D873" t="s">
        <v>13</v>
      </c>
      <c r="E873" t="s">
        <v>27</v>
      </c>
      <c r="F873" t="s">
        <v>60</v>
      </c>
      <c r="G873" s="1">
        <v>45789</v>
      </c>
      <c r="H873" s="1">
        <v>45794</v>
      </c>
      <c r="I873" s="1" t="str">
        <f>TEXT(Table1[[#This Row],[Admission Date]],"MMMM")</f>
        <v>May</v>
      </c>
      <c r="J873">
        <v>5</v>
      </c>
      <c r="K873">
        <v>31740</v>
      </c>
    </row>
    <row r="874" spans="1:11" x14ac:dyDescent="0.3">
      <c r="A874" t="s">
        <v>1052</v>
      </c>
      <c r="B874" t="s">
        <v>155</v>
      </c>
      <c r="C874">
        <v>46</v>
      </c>
      <c r="D874" t="s">
        <v>18</v>
      </c>
      <c r="E874" t="s">
        <v>34</v>
      </c>
      <c r="F874" t="s">
        <v>24</v>
      </c>
      <c r="G874" s="1">
        <v>45959</v>
      </c>
      <c r="H874" s="1">
        <v>45971</v>
      </c>
      <c r="I874" s="1" t="str">
        <f>TEXT(Table1[[#This Row],[Admission Date]],"MMMM")</f>
        <v>October</v>
      </c>
      <c r="J874">
        <v>12</v>
      </c>
      <c r="K874">
        <v>142776</v>
      </c>
    </row>
    <row r="875" spans="1:11" x14ac:dyDescent="0.3">
      <c r="A875" t="s">
        <v>1053</v>
      </c>
      <c r="B875" t="s">
        <v>362</v>
      </c>
      <c r="C875">
        <v>14</v>
      </c>
      <c r="D875" t="s">
        <v>13</v>
      </c>
      <c r="E875" t="s">
        <v>23</v>
      </c>
      <c r="F875" t="s">
        <v>15</v>
      </c>
      <c r="G875" s="1">
        <v>45741</v>
      </c>
      <c r="H875" s="1">
        <v>45745</v>
      </c>
      <c r="I875" s="1" t="str">
        <f>TEXT(Table1[[#This Row],[Admission Date]],"MMMM")</f>
        <v>March</v>
      </c>
      <c r="J875">
        <v>4</v>
      </c>
      <c r="K875">
        <v>37524</v>
      </c>
    </row>
    <row r="876" spans="1:11" x14ac:dyDescent="0.3">
      <c r="A876" t="s">
        <v>1054</v>
      </c>
      <c r="B876" t="s">
        <v>177</v>
      </c>
      <c r="C876">
        <v>44</v>
      </c>
      <c r="D876" t="s">
        <v>13</v>
      </c>
      <c r="E876" t="s">
        <v>14</v>
      </c>
      <c r="F876" t="s">
        <v>28</v>
      </c>
      <c r="G876" s="1">
        <v>45852</v>
      </c>
      <c r="H876" s="1">
        <v>45864</v>
      </c>
      <c r="I876" s="1" t="str">
        <f>TEXT(Table1[[#This Row],[Admission Date]],"MMMM")</f>
        <v>July</v>
      </c>
      <c r="J876">
        <v>12</v>
      </c>
      <c r="K876">
        <v>107220</v>
      </c>
    </row>
    <row r="877" spans="1:11" x14ac:dyDescent="0.3">
      <c r="A877" t="s">
        <v>1055</v>
      </c>
      <c r="B877" t="s">
        <v>65</v>
      </c>
      <c r="C877">
        <v>40</v>
      </c>
      <c r="D877" t="s">
        <v>18</v>
      </c>
      <c r="E877" t="s">
        <v>19</v>
      </c>
      <c r="F877" t="s">
        <v>35</v>
      </c>
      <c r="G877" s="1">
        <v>46019</v>
      </c>
      <c r="H877" s="1">
        <v>46028</v>
      </c>
      <c r="I877" s="1" t="str">
        <f>TEXT(Table1[[#This Row],[Admission Date]],"MMMM")</f>
        <v>December</v>
      </c>
      <c r="J877">
        <v>9</v>
      </c>
      <c r="K877">
        <v>86904</v>
      </c>
    </row>
    <row r="878" spans="1:11" x14ac:dyDescent="0.3">
      <c r="A878" t="s">
        <v>1056</v>
      </c>
      <c r="B878" t="s">
        <v>456</v>
      </c>
      <c r="C878">
        <v>14</v>
      </c>
      <c r="D878" t="s">
        <v>18</v>
      </c>
      <c r="E878" t="s">
        <v>34</v>
      </c>
      <c r="F878" t="s">
        <v>43</v>
      </c>
      <c r="G878" s="1">
        <v>45696</v>
      </c>
      <c r="H878" s="1">
        <v>45702</v>
      </c>
      <c r="I878" s="1" t="str">
        <f>TEXT(Table1[[#This Row],[Admission Date]],"MMMM")</f>
        <v>February</v>
      </c>
      <c r="J878">
        <v>6</v>
      </c>
      <c r="K878">
        <v>32190</v>
      </c>
    </row>
    <row r="879" spans="1:11" x14ac:dyDescent="0.3">
      <c r="A879" t="s">
        <v>1057</v>
      </c>
      <c r="B879" t="s">
        <v>398</v>
      </c>
      <c r="C879">
        <v>45</v>
      </c>
      <c r="D879" t="s">
        <v>13</v>
      </c>
      <c r="E879" t="s">
        <v>23</v>
      </c>
      <c r="F879" t="s">
        <v>43</v>
      </c>
      <c r="G879" s="1">
        <v>45890</v>
      </c>
      <c r="H879" s="1">
        <v>45893</v>
      </c>
      <c r="I879" s="1" t="str">
        <f>TEXT(Table1[[#This Row],[Admission Date]],"MMMM")</f>
        <v>August</v>
      </c>
      <c r="J879">
        <v>3</v>
      </c>
      <c r="K879">
        <v>21720</v>
      </c>
    </row>
    <row r="880" spans="1:11" x14ac:dyDescent="0.3">
      <c r="A880" t="s">
        <v>1058</v>
      </c>
      <c r="B880" t="s">
        <v>161</v>
      </c>
      <c r="C880">
        <v>73</v>
      </c>
      <c r="D880" t="s">
        <v>18</v>
      </c>
      <c r="E880" t="s">
        <v>49</v>
      </c>
      <c r="F880" t="s">
        <v>15</v>
      </c>
      <c r="G880" s="1">
        <v>45703</v>
      </c>
      <c r="H880" s="1">
        <v>45708</v>
      </c>
      <c r="I880" s="1" t="str">
        <f>TEXT(Table1[[#This Row],[Admission Date]],"MMMM")</f>
        <v>February</v>
      </c>
      <c r="J880">
        <v>5</v>
      </c>
      <c r="K880">
        <v>41505</v>
      </c>
    </row>
    <row r="881" spans="1:11" x14ac:dyDescent="0.3">
      <c r="A881" t="s">
        <v>1059</v>
      </c>
      <c r="B881" t="s">
        <v>462</v>
      </c>
      <c r="C881">
        <v>23</v>
      </c>
      <c r="D881" t="s">
        <v>13</v>
      </c>
      <c r="E881" t="s">
        <v>40</v>
      </c>
      <c r="F881" t="s">
        <v>28</v>
      </c>
      <c r="G881" s="1">
        <v>45706</v>
      </c>
      <c r="H881" s="1">
        <v>45707</v>
      </c>
      <c r="I881" s="1" t="str">
        <f>TEXT(Table1[[#This Row],[Admission Date]],"MMMM")</f>
        <v>February</v>
      </c>
      <c r="J881">
        <v>1</v>
      </c>
      <c r="K881">
        <v>11113</v>
      </c>
    </row>
    <row r="882" spans="1:11" x14ac:dyDescent="0.3">
      <c r="A882" t="s">
        <v>1060</v>
      </c>
      <c r="B882" t="s">
        <v>39</v>
      </c>
      <c r="C882">
        <v>38</v>
      </c>
      <c r="D882" t="s">
        <v>18</v>
      </c>
      <c r="E882" t="s">
        <v>31</v>
      </c>
      <c r="F882" t="s">
        <v>28</v>
      </c>
      <c r="G882" s="1">
        <v>45834</v>
      </c>
      <c r="H882" s="1">
        <v>45845</v>
      </c>
      <c r="I882" s="1" t="str">
        <f>TEXT(Table1[[#This Row],[Admission Date]],"MMMM")</f>
        <v>June</v>
      </c>
      <c r="J882">
        <v>11</v>
      </c>
      <c r="K882">
        <v>116336</v>
      </c>
    </row>
    <row r="883" spans="1:11" x14ac:dyDescent="0.3">
      <c r="A883" t="s">
        <v>1061</v>
      </c>
      <c r="B883" t="s">
        <v>221</v>
      </c>
      <c r="C883">
        <v>8</v>
      </c>
      <c r="D883" t="s">
        <v>13</v>
      </c>
      <c r="E883" t="s">
        <v>49</v>
      </c>
      <c r="F883" t="s">
        <v>43</v>
      </c>
      <c r="G883" s="1">
        <v>45666</v>
      </c>
      <c r="H883" s="1">
        <v>45670</v>
      </c>
      <c r="I883" s="1" t="str">
        <f>TEXT(Table1[[#This Row],[Admission Date]],"MMMM")</f>
        <v>January</v>
      </c>
      <c r="J883">
        <v>4</v>
      </c>
      <c r="K883">
        <v>29236</v>
      </c>
    </row>
    <row r="884" spans="1:11" x14ac:dyDescent="0.3">
      <c r="A884" t="s">
        <v>1062</v>
      </c>
      <c r="B884" t="s">
        <v>468</v>
      </c>
      <c r="C884">
        <v>80</v>
      </c>
      <c r="D884" t="s">
        <v>13</v>
      </c>
      <c r="E884" t="s">
        <v>23</v>
      </c>
      <c r="F884" t="s">
        <v>24</v>
      </c>
      <c r="G884" s="1">
        <v>46004</v>
      </c>
      <c r="H884" s="1">
        <v>46011</v>
      </c>
      <c r="I884" s="1" t="str">
        <f>TEXT(Table1[[#This Row],[Admission Date]],"MMMM")</f>
        <v>December</v>
      </c>
      <c r="J884">
        <v>7</v>
      </c>
      <c r="K884">
        <v>61901</v>
      </c>
    </row>
    <row r="885" spans="1:11" x14ac:dyDescent="0.3">
      <c r="A885" t="s">
        <v>1063</v>
      </c>
      <c r="B885" t="s">
        <v>395</v>
      </c>
      <c r="C885">
        <v>4</v>
      </c>
      <c r="D885" t="s">
        <v>18</v>
      </c>
      <c r="E885" t="s">
        <v>49</v>
      </c>
      <c r="F885" t="s">
        <v>35</v>
      </c>
      <c r="G885" s="1">
        <v>45760</v>
      </c>
      <c r="H885" s="1">
        <v>45771</v>
      </c>
      <c r="I885" s="1" t="str">
        <f>TEXT(Table1[[#This Row],[Admission Date]],"MMMM")</f>
        <v>April</v>
      </c>
      <c r="J885">
        <v>11</v>
      </c>
      <c r="K885">
        <v>62898</v>
      </c>
    </row>
    <row r="886" spans="1:11" x14ac:dyDescent="0.3">
      <c r="A886" t="s">
        <v>1064</v>
      </c>
      <c r="B886" t="s">
        <v>73</v>
      </c>
      <c r="C886">
        <v>83</v>
      </c>
      <c r="D886" t="s">
        <v>18</v>
      </c>
      <c r="E886" t="s">
        <v>14</v>
      </c>
      <c r="F886" t="s">
        <v>20</v>
      </c>
      <c r="G886" s="1">
        <v>45947</v>
      </c>
      <c r="H886" s="1">
        <v>45961</v>
      </c>
      <c r="I886" s="1" t="str">
        <f>TEXT(Table1[[#This Row],[Admission Date]],"MMMM")</f>
        <v>October</v>
      </c>
      <c r="J886">
        <v>14</v>
      </c>
      <c r="K886">
        <v>150094</v>
      </c>
    </row>
    <row r="887" spans="1:11" x14ac:dyDescent="0.3">
      <c r="A887" t="s">
        <v>1065</v>
      </c>
      <c r="B887" t="s">
        <v>307</v>
      </c>
      <c r="C887">
        <v>31</v>
      </c>
      <c r="D887" t="s">
        <v>13</v>
      </c>
      <c r="E887" t="s">
        <v>14</v>
      </c>
      <c r="F887" t="s">
        <v>63</v>
      </c>
      <c r="G887" s="1">
        <v>45904</v>
      </c>
      <c r="H887" s="1">
        <v>45911</v>
      </c>
      <c r="I887" s="1" t="str">
        <f>TEXT(Table1[[#This Row],[Admission Date]],"MMMM")</f>
        <v>September</v>
      </c>
      <c r="J887">
        <v>7</v>
      </c>
      <c r="K887">
        <v>40334</v>
      </c>
    </row>
    <row r="888" spans="1:11" x14ac:dyDescent="0.3">
      <c r="A888" t="s">
        <v>1066</v>
      </c>
      <c r="B888" t="s">
        <v>326</v>
      </c>
      <c r="C888">
        <v>24</v>
      </c>
      <c r="D888" t="s">
        <v>13</v>
      </c>
      <c r="E888" t="s">
        <v>103</v>
      </c>
      <c r="F888" t="s">
        <v>35</v>
      </c>
      <c r="G888" s="1">
        <v>45770</v>
      </c>
      <c r="H888" s="1">
        <v>45779</v>
      </c>
      <c r="I888" s="1" t="str">
        <f>TEXT(Table1[[#This Row],[Admission Date]],"MMMM")</f>
        <v>April</v>
      </c>
      <c r="J888">
        <v>9</v>
      </c>
      <c r="K888">
        <v>105921</v>
      </c>
    </row>
    <row r="889" spans="1:11" x14ac:dyDescent="0.3">
      <c r="A889" t="s">
        <v>1067</v>
      </c>
      <c r="B889" t="s">
        <v>105</v>
      </c>
      <c r="C889">
        <v>7</v>
      </c>
      <c r="D889" t="s">
        <v>18</v>
      </c>
      <c r="E889" t="s">
        <v>14</v>
      </c>
      <c r="F889" t="s">
        <v>63</v>
      </c>
      <c r="G889" s="1">
        <v>45929</v>
      </c>
      <c r="H889" s="1">
        <v>45941</v>
      </c>
      <c r="I889" s="1" t="str">
        <f>TEXT(Table1[[#This Row],[Admission Date]],"MMMM")</f>
        <v>September</v>
      </c>
      <c r="J889">
        <v>12</v>
      </c>
      <c r="K889">
        <v>107904</v>
      </c>
    </row>
    <row r="890" spans="1:11" x14ac:dyDescent="0.3">
      <c r="A890" t="s">
        <v>1068</v>
      </c>
      <c r="B890" t="s">
        <v>221</v>
      </c>
      <c r="C890">
        <v>85</v>
      </c>
      <c r="D890" t="s">
        <v>13</v>
      </c>
      <c r="E890" t="s">
        <v>49</v>
      </c>
      <c r="F890" t="s">
        <v>43</v>
      </c>
      <c r="G890" s="1">
        <v>45724</v>
      </c>
      <c r="H890" s="1">
        <v>45739</v>
      </c>
      <c r="I890" s="1" t="str">
        <f>TEXT(Table1[[#This Row],[Admission Date]],"MMMM")</f>
        <v>March</v>
      </c>
      <c r="J890">
        <v>15</v>
      </c>
      <c r="K890">
        <v>145305</v>
      </c>
    </row>
    <row r="891" spans="1:11" x14ac:dyDescent="0.3">
      <c r="A891" t="s">
        <v>1069</v>
      </c>
      <c r="B891" t="s">
        <v>462</v>
      </c>
      <c r="C891">
        <v>35</v>
      </c>
      <c r="D891" t="s">
        <v>18</v>
      </c>
      <c r="E891" t="s">
        <v>14</v>
      </c>
      <c r="F891" t="s">
        <v>24</v>
      </c>
      <c r="G891" s="1">
        <v>45790</v>
      </c>
      <c r="H891" s="1">
        <v>45795</v>
      </c>
      <c r="I891" s="1" t="str">
        <f>TEXT(Table1[[#This Row],[Admission Date]],"MMMM")</f>
        <v>May</v>
      </c>
      <c r="J891">
        <v>5</v>
      </c>
      <c r="K891">
        <v>47745</v>
      </c>
    </row>
    <row r="892" spans="1:11" x14ac:dyDescent="0.3">
      <c r="A892" t="s">
        <v>1070</v>
      </c>
      <c r="B892" t="s">
        <v>260</v>
      </c>
      <c r="C892">
        <v>24</v>
      </c>
      <c r="D892" t="s">
        <v>18</v>
      </c>
      <c r="E892" t="s">
        <v>49</v>
      </c>
      <c r="F892" t="s">
        <v>15</v>
      </c>
      <c r="G892" s="1">
        <v>45863</v>
      </c>
      <c r="H892" s="1">
        <v>45872</v>
      </c>
      <c r="I892" s="1" t="str">
        <f>TEXT(Table1[[#This Row],[Admission Date]],"MMMM")</f>
        <v>July</v>
      </c>
      <c r="J892">
        <v>9</v>
      </c>
      <c r="K892">
        <v>75420</v>
      </c>
    </row>
    <row r="893" spans="1:11" x14ac:dyDescent="0.3">
      <c r="A893" t="s">
        <v>1071</v>
      </c>
      <c r="B893" t="s">
        <v>55</v>
      </c>
      <c r="C893">
        <v>86</v>
      </c>
      <c r="D893" t="s">
        <v>13</v>
      </c>
      <c r="E893" t="s">
        <v>46</v>
      </c>
      <c r="F893" t="s">
        <v>60</v>
      </c>
      <c r="G893" s="1">
        <v>45949</v>
      </c>
      <c r="H893" s="1">
        <v>45954</v>
      </c>
      <c r="I893" s="1" t="str">
        <f>TEXT(Table1[[#This Row],[Admission Date]],"MMMM")</f>
        <v>October</v>
      </c>
      <c r="J893">
        <v>5</v>
      </c>
      <c r="K893">
        <v>42350</v>
      </c>
    </row>
    <row r="894" spans="1:11" x14ac:dyDescent="0.3">
      <c r="A894" t="s">
        <v>1072</v>
      </c>
      <c r="B894" t="s">
        <v>268</v>
      </c>
      <c r="C894">
        <v>77</v>
      </c>
      <c r="D894" t="s">
        <v>18</v>
      </c>
      <c r="E894" t="s">
        <v>46</v>
      </c>
      <c r="F894" t="s">
        <v>35</v>
      </c>
      <c r="G894" s="1">
        <v>45705</v>
      </c>
      <c r="H894" s="1">
        <v>45712</v>
      </c>
      <c r="I894" s="1" t="str">
        <f>TEXT(Table1[[#This Row],[Admission Date]],"MMMM")</f>
        <v>February</v>
      </c>
      <c r="J894">
        <v>7</v>
      </c>
      <c r="K894">
        <v>59633</v>
      </c>
    </row>
    <row r="895" spans="1:11" x14ac:dyDescent="0.3">
      <c r="A895" t="s">
        <v>1073</v>
      </c>
      <c r="B895" t="s">
        <v>169</v>
      </c>
      <c r="C895">
        <v>58</v>
      </c>
      <c r="D895" t="s">
        <v>18</v>
      </c>
      <c r="E895" t="s">
        <v>19</v>
      </c>
      <c r="F895" t="s">
        <v>24</v>
      </c>
      <c r="G895" s="1">
        <v>45894</v>
      </c>
      <c r="H895" s="1">
        <v>45898</v>
      </c>
      <c r="I895" s="1" t="str">
        <f>TEXT(Table1[[#This Row],[Admission Date]],"MMMM")</f>
        <v>August</v>
      </c>
      <c r="J895">
        <v>4</v>
      </c>
      <c r="K895">
        <v>43936</v>
      </c>
    </row>
    <row r="896" spans="1:11" x14ac:dyDescent="0.3">
      <c r="A896" t="s">
        <v>1074</v>
      </c>
      <c r="B896" t="s">
        <v>121</v>
      </c>
      <c r="C896">
        <v>79</v>
      </c>
      <c r="D896" t="s">
        <v>13</v>
      </c>
      <c r="E896" t="s">
        <v>19</v>
      </c>
      <c r="F896" t="s">
        <v>20</v>
      </c>
      <c r="G896" s="1">
        <v>45766</v>
      </c>
      <c r="H896" s="1">
        <v>45777</v>
      </c>
      <c r="I896" s="1" t="str">
        <f>TEXT(Table1[[#This Row],[Admission Date]],"MMMM")</f>
        <v>April</v>
      </c>
      <c r="J896">
        <v>11</v>
      </c>
      <c r="K896">
        <v>72325</v>
      </c>
    </row>
    <row r="897" spans="1:11" x14ac:dyDescent="0.3">
      <c r="A897" t="s">
        <v>1075</v>
      </c>
      <c r="B897" t="s">
        <v>145</v>
      </c>
      <c r="C897">
        <v>64</v>
      </c>
      <c r="D897" t="s">
        <v>18</v>
      </c>
      <c r="E897" t="s">
        <v>19</v>
      </c>
      <c r="F897" t="s">
        <v>24</v>
      </c>
      <c r="G897" s="1">
        <v>45893</v>
      </c>
      <c r="H897" s="1">
        <v>45902</v>
      </c>
      <c r="I897" s="1" t="str">
        <f>TEXT(Table1[[#This Row],[Admission Date]],"MMMM")</f>
        <v>August</v>
      </c>
      <c r="J897">
        <v>9</v>
      </c>
      <c r="K897">
        <v>98991</v>
      </c>
    </row>
    <row r="898" spans="1:11" x14ac:dyDescent="0.3">
      <c r="A898" t="s">
        <v>1076</v>
      </c>
      <c r="B898" t="s">
        <v>248</v>
      </c>
      <c r="C898">
        <v>65</v>
      </c>
      <c r="D898" t="s">
        <v>13</v>
      </c>
      <c r="E898" t="s">
        <v>31</v>
      </c>
      <c r="F898" t="s">
        <v>60</v>
      </c>
      <c r="G898" s="1">
        <v>46017</v>
      </c>
      <c r="H898" s="1">
        <v>46021</v>
      </c>
      <c r="I898" s="1" t="str">
        <f>TEXT(Table1[[#This Row],[Admission Date]],"MMMM")</f>
        <v>December</v>
      </c>
      <c r="J898">
        <v>4</v>
      </c>
      <c r="K898">
        <v>25128</v>
      </c>
    </row>
    <row r="899" spans="1:11" x14ac:dyDescent="0.3">
      <c r="A899" t="s">
        <v>1077</v>
      </c>
      <c r="B899" t="s">
        <v>713</v>
      </c>
      <c r="C899">
        <v>47</v>
      </c>
      <c r="D899" t="s">
        <v>18</v>
      </c>
      <c r="E899" t="s">
        <v>23</v>
      </c>
      <c r="F899" t="s">
        <v>20</v>
      </c>
      <c r="G899" s="1">
        <v>45739</v>
      </c>
      <c r="H899" s="1">
        <v>45744</v>
      </c>
      <c r="I899" s="1" t="str">
        <f>TEXT(Table1[[#This Row],[Admission Date]],"MMMM")</f>
        <v>March</v>
      </c>
      <c r="J899">
        <v>5</v>
      </c>
      <c r="K899">
        <v>37895</v>
      </c>
    </row>
    <row r="900" spans="1:11" x14ac:dyDescent="0.3">
      <c r="A900" t="s">
        <v>1078</v>
      </c>
      <c r="B900" t="s">
        <v>117</v>
      </c>
      <c r="C900">
        <v>1</v>
      </c>
      <c r="D900" t="s">
        <v>13</v>
      </c>
      <c r="E900" t="s">
        <v>23</v>
      </c>
      <c r="F900" t="s">
        <v>15</v>
      </c>
      <c r="G900" s="1">
        <v>45919</v>
      </c>
      <c r="H900" s="1">
        <v>45932</v>
      </c>
      <c r="I900" s="1" t="str">
        <f>TEXT(Table1[[#This Row],[Admission Date]],"MMMM")</f>
        <v>September</v>
      </c>
      <c r="J900">
        <v>13</v>
      </c>
      <c r="K900">
        <v>147550</v>
      </c>
    </row>
    <row r="901" spans="1:11" x14ac:dyDescent="0.3">
      <c r="A901" t="s">
        <v>1079</v>
      </c>
      <c r="B901" t="s">
        <v>204</v>
      </c>
      <c r="C901">
        <v>84</v>
      </c>
      <c r="D901" t="s">
        <v>13</v>
      </c>
      <c r="E901" t="s">
        <v>27</v>
      </c>
      <c r="F901" t="s">
        <v>60</v>
      </c>
      <c r="G901" s="1">
        <v>45955</v>
      </c>
      <c r="H901" s="1">
        <v>45965</v>
      </c>
      <c r="I901" s="1" t="str">
        <f>TEXT(Table1[[#This Row],[Admission Date]],"MMMM")</f>
        <v>October</v>
      </c>
      <c r="J901">
        <v>10</v>
      </c>
      <c r="K901">
        <v>69410</v>
      </c>
    </row>
    <row r="902" spans="1:11" x14ac:dyDescent="0.3">
      <c r="A902" t="s">
        <v>1080</v>
      </c>
      <c r="B902" t="s">
        <v>485</v>
      </c>
      <c r="C902">
        <v>68</v>
      </c>
      <c r="D902" t="s">
        <v>18</v>
      </c>
      <c r="E902" t="s">
        <v>46</v>
      </c>
      <c r="F902" t="s">
        <v>28</v>
      </c>
      <c r="G902" s="1">
        <v>45972</v>
      </c>
      <c r="H902" s="1">
        <v>45983</v>
      </c>
      <c r="I902" s="1" t="str">
        <f>TEXT(Table1[[#This Row],[Admission Date]],"MMMM")</f>
        <v>November</v>
      </c>
      <c r="J902">
        <v>11</v>
      </c>
      <c r="K902">
        <v>63701</v>
      </c>
    </row>
    <row r="903" spans="1:11" x14ac:dyDescent="0.3">
      <c r="A903" t="s">
        <v>1081</v>
      </c>
      <c r="B903" t="s">
        <v>17</v>
      </c>
      <c r="C903">
        <v>6</v>
      </c>
      <c r="D903" t="s">
        <v>18</v>
      </c>
      <c r="E903" t="s">
        <v>103</v>
      </c>
      <c r="F903" t="s">
        <v>28</v>
      </c>
      <c r="G903" s="1">
        <v>45924</v>
      </c>
      <c r="H903" s="1">
        <v>45929</v>
      </c>
      <c r="I903" s="1" t="str">
        <f>TEXT(Table1[[#This Row],[Admission Date]],"MMMM")</f>
        <v>September</v>
      </c>
      <c r="J903">
        <v>5</v>
      </c>
      <c r="K903">
        <v>41580</v>
      </c>
    </row>
    <row r="904" spans="1:11" x14ac:dyDescent="0.3">
      <c r="A904" t="s">
        <v>1082</v>
      </c>
      <c r="B904" t="s">
        <v>485</v>
      </c>
      <c r="C904">
        <v>1</v>
      </c>
      <c r="D904" t="s">
        <v>13</v>
      </c>
      <c r="E904" t="s">
        <v>23</v>
      </c>
      <c r="F904" t="s">
        <v>28</v>
      </c>
      <c r="G904" s="1">
        <v>45887</v>
      </c>
      <c r="H904" s="1">
        <v>45896</v>
      </c>
      <c r="I904" s="1" t="str">
        <f>TEXT(Table1[[#This Row],[Admission Date]],"MMMM")</f>
        <v>August</v>
      </c>
      <c r="J904">
        <v>9</v>
      </c>
      <c r="K904">
        <v>82116</v>
      </c>
    </row>
    <row r="905" spans="1:11" x14ac:dyDescent="0.3">
      <c r="A905" t="s">
        <v>1083</v>
      </c>
      <c r="B905" t="s">
        <v>55</v>
      </c>
      <c r="C905">
        <v>37</v>
      </c>
      <c r="D905" t="s">
        <v>13</v>
      </c>
      <c r="E905" t="s">
        <v>103</v>
      </c>
      <c r="F905" t="s">
        <v>63</v>
      </c>
      <c r="G905" s="1">
        <v>45998</v>
      </c>
      <c r="H905" s="1">
        <v>46010</v>
      </c>
      <c r="I905" s="1" t="str">
        <f>TEXT(Table1[[#This Row],[Admission Date]],"MMMM")</f>
        <v>December</v>
      </c>
      <c r="J905">
        <v>12</v>
      </c>
      <c r="K905">
        <v>96048</v>
      </c>
    </row>
    <row r="906" spans="1:11" x14ac:dyDescent="0.3">
      <c r="A906" t="s">
        <v>1084</v>
      </c>
      <c r="B906" t="s">
        <v>429</v>
      </c>
      <c r="C906">
        <v>8</v>
      </c>
      <c r="D906" t="s">
        <v>13</v>
      </c>
      <c r="E906" t="s">
        <v>23</v>
      </c>
      <c r="F906" t="s">
        <v>24</v>
      </c>
      <c r="G906" s="1">
        <v>45833</v>
      </c>
      <c r="H906" s="1">
        <v>45847</v>
      </c>
      <c r="I906" s="1" t="str">
        <f>TEXT(Table1[[#This Row],[Admission Date]],"MMMM")</f>
        <v>June</v>
      </c>
      <c r="J906">
        <v>14</v>
      </c>
      <c r="K906">
        <v>90146</v>
      </c>
    </row>
    <row r="907" spans="1:11" x14ac:dyDescent="0.3">
      <c r="A907" t="s">
        <v>1085</v>
      </c>
      <c r="B907" t="s">
        <v>83</v>
      </c>
      <c r="C907">
        <v>33</v>
      </c>
      <c r="D907" t="s">
        <v>18</v>
      </c>
      <c r="E907" t="s">
        <v>31</v>
      </c>
      <c r="F907" t="s">
        <v>60</v>
      </c>
      <c r="G907" s="1">
        <v>45730</v>
      </c>
      <c r="H907" s="1">
        <v>45742</v>
      </c>
      <c r="I907" s="1" t="str">
        <f>TEXT(Table1[[#This Row],[Admission Date]],"MMMM")</f>
        <v>March</v>
      </c>
      <c r="J907">
        <v>12</v>
      </c>
      <c r="K907">
        <v>91548</v>
      </c>
    </row>
    <row r="908" spans="1:11" x14ac:dyDescent="0.3">
      <c r="A908" t="s">
        <v>1086</v>
      </c>
      <c r="B908" t="s">
        <v>446</v>
      </c>
      <c r="C908">
        <v>23</v>
      </c>
      <c r="D908" t="s">
        <v>13</v>
      </c>
      <c r="E908" t="s">
        <v>27</v>
      </c>
      <c r="F908" t="s">
        <v>35</v>
      </c>
      <c r="G908" s="1">
        <v>45822</v>
      </c>
      <c r="H908" s="1">
        <v>45836</v>
      </c>
      <c r="I908" s="1" t="str">
        <f>TEXT(Table1[[#This Row],[Admission Date]],"MMMM")</f>
        <v>June</v>
      </c>
      <c r="J908">
        <v>14</v>
      </c>
      <c r="K908">
        <v>140812</v>
      </c>
    </row>
    <row r="909" spans="1:11" x14ac:dyDescent="0.3">
      <c r="A909" t="s">
        <v>1087</v>
      </c>
      <c r="B909" t="s">
        <v>202</v>
      </c>
      <c r="C909">
        <v>14</v>
      </c>
      <c r="D909" t="s">
        <v>13</v>
      </c>
      <c r="E909" t="s">
        <v>34</v>
      </c>
      <c r="F909" t="s">
        <v>63</v>
      </c>
      <c r="G909" s="1">
        <v>45927</v>
      </c>
      <c r="H909" s="1">
        <v>45935</v>
      </c>
      <c r="I909" s="1" t="str">
        <f>TEXT(Table1[[#This Row],[Admission Date]],"MMMM")</f>
        <v>September</v>
      </c>
      <c r="J909">
        <v>8</v>
      </c>
      <c r="K909">
        <v>59720</v>
      </c>
    </row>
    <row r="910" spans="1:11" x14ac:dyDescent="0.3">
      <c r="A910" t="s">
        <v>1088</v>
      </c>
      <c r="B910" t="s">
        <v>395</v>
      </c>
      <c r="C910">
        <v>53</v>
      </c>
      <c r="D910" t="s">
        <v>13</v>
      </c>
      <c r="E910" t="s">
        <v>19</v>
      </c>
      <c r="F910" t="s">
        <v>35</v>
      </c>
      <c r="G910" s="1">
        <v>45987</v>
      </c>
      <c r="H910" s="1">
        <v>45991</v>
      </c>
      <c r="I910" s="1" t="str">
        <f>TEXT(Table1[[#This Row],[Admission Date]],"MMMM")</f>
        <v>November</v>
      </c>
      <c r="J910">
        <v>4</v>
      </c>
      <c r="K910">
        <v>25400</v>
      </c>
    </row>
    <row r="911" spans="1:11" x14ac:dyDescent="0.3">
      <c r="A911" t="s">
        <v>1089</v>
      </c>
      <c r="B911" t="s">
        <v>75</v>
      </c>
      <c r="C911">
        <v>6</v>
      </c>
      <c r="D911" t="s">
        <v>18</v>
      </c>
      <c r="E911" t="s">
        <v>103</v>
      </c>
      <c r="F911" t="s">
        <v>43</v>
      </c>
      <c r="G911" s="1">
        <v>45961</v>
      </c>
      <c r="H911" s="1">
        <v>45963</v>
      </c>
      <c r="I911" s="1" t="str">
        <f>TEXT(Table1[[#This Row],[Admission Date]],"MMMM")</f>
        <v>October</v>
      </c>
      <c r="J911">
        <v>2</v>
      </c>
      <c r="K911">
        <v>18142</v>
      </c>
    </row>
    <row r="912" spans="1:11" x14ac:dyDescent="0.3">
      <c r="A912" t="s">
        <v>1090</v>
      </c>
      <c r="B912" t="s">
        <v>221</v>
      </c>
      <c r="C912">
        <v>42</v>
      </c>
      <c r="D912" t="s">
        <v>18</v>
      </c>
      <c r="E912" t="s">
        <v>46</v>
      </c>
      <c r="F912" t="s">
        <v>24</v>
      </c>
      <c r="G912" s="1">
        <v>46021</v>
      </c>
      <c r="H912" s="1">
        <v>46029</v>
      </c>
      <c r="I912" s="1" t="str">
        <f>TEXT(Table1[[#This Row],[Admission Date]],"MMMM")</f>
        <v>December</v>
      </c>
      <c r="J912">
        <v>8</v>
      </c>
      <c r="K912">
        <v>72080</v>
      </c>
    </row>
    <row r="913" spans="1:11" x14ac:dyDescent="0.3">
      <c r="A913" t="s">
        <v>1091</v>
      </c>
      <c r="B913" t="s">
        <v>691</v>
      </c>
      <c r="C913">
        <v>59</v>
      </c>
      <c r="D913" t="s">
        <v>13</v>
      </c>
      <c r="E913" t="s">
        <v>49</v>
      </c>
      <c r="F913" t="s">
        <v>60</v>
      </c>
      <c r="G913" s="1">
        <v>45702</v>
      </c>
      <c r="H913" s="1">
        <v>45713</v>
      </c>
      <c r="I913" s="1" t="str">
        <f>TEXT(Table1[[#This Row],[Admission Date]],"MMMM")</f>
        <v>February</v>
      </c>
      <c r="J913">
        <v>11</v>
      </c>
      <c r="K913">
        <v>110627</v>
      </c>
    </row>
    <row r="914" spans="1:11" x14ac:dyDescent="0.3">
      <c r="A914" t="s">
        <v>1092</v>
      </c>
      <c r="B914" t="s">
        <v>551</v>
      </c>
      <c r="C914">
        <v>69</v>
      </c>
      <c r="D914" t="s">
        <v>13</v>
      </c>
      <c r="E914" t="s">
        <v>40</v>
      </c>
      <c r="F914" t="s">
        <v>28</v>
      </c>
      <c r="G914" s="1">
        <v>45714</v>
      </c>
      <c r="H914" s="1">
        <v>45715</v>
      </c>
      <c r="I914" s="1" t="str">
        <f>TEXT(Table1[[#This Row],[Admission Date]],"MMMM")</f>
        <v>February</v>
      </c>
      <c r="J914">
        <v>1</v>
      </c>
      <c r="K914">
        <v>11656</v>
      </c>
    </row>
    <row r="915" spans="1:11" x14ac:dyDescent="0.3">
      <c r="A915" t="s">
        <v>1093</v>
      </c>
      <c r="B915" t="s">
        <v>420</v>
      </c>
      <c r="C915">
        <v>19</v>
      </c>
      <c r="D915" t="s">
        <v>13</v>
      </c>
      <c r="E915" t="s">
        <v>40</v>
      </c>
      <c r="F915" t="s">
        <v>20</v>
      </c>
      <c r="G915" s="1">
        <v>45880</v>
      </c>
      <c r="H915" s="1">
        <v>45895</v>
      </c>
      <c r="I915" s="1" t="str">
        <f>TEXT(Table1[[#This Row],[Admission Date]],"MMMM")</f>
        <v>August</v>
      </c>
      <c r="J915">
        <v>15</v>
      </c>
      <c r="K915">
        <v>176925</v>
      </c>
    </row>
    <row r="916" spans="1:11" x14ac:dyDescent="0.3">
      <c r="A916" t="s">
        <v>1094</v>
      </c>
      <c r="B916" t="s">
        <v>157</v>
      </c>
      <c r="C916">
        <v>15</v>
      </c>
      <c r="D916" t="s">
        <v>18</v>
      </c>
      <c r="E916" t="s">
        <v>46</v>
      </c>
      <c r="F916" t="s">
        <v>20</v>
      </c>
      <c r="G916" s="1">
        <v>45757</v>
      </c>
      <c r="H916" s="1">
        <v>45767</v>
      </c>
      <c r="I916" s="1" t="str">
        <f>TEXT(Table1[[#This Row],[Admission Date]],"MMMM")</f>
        <v>April</v>
      </c>
      <c r="J916">
        <v>10</v>
      </c>
      <c r="K916">
        <v>62500</v>
      </c>
    </row>
    <row r="917" spans="1:11" x14ac:dyDescent="0.3">
      <c r="A917" t="s">
        <v>1095</v>
      </c>
      <c r="B917" t="s">
        <v>73</v>
      </c>
      <c r="C917">
        <v>41</v>
      </c>
      <c r="D917" t="s">
        <v>13</v>
      </c>
      <c r="E917" t="s">
        <v>23</v>
      </c>
      <c r="F917" t="s">
        <v>35</v>
      </c>
      <c r="G917" s="1">
        <v>45979</v>
      </c>
      <c r="H917" s="1">
        <v>45991</v>
      </c>
      <c r="I917" s="1" t="str">
        <f>TEXT(Table1[[#This Row],[Admission Date]],"MMMM")</f>
        <v>November</v>
      </c>
      <c r="J917">
        <v>12</v>
      </c>
      <c r="K917">
        <v>102372</v>
      </c>
    </row>
    <row r="918" spans="1:11" x14ac:dyDescent="0.3">
      <c r="A918" t="s">
        <v>1096</v>
      </c>
      <c r="B918" t="s">
        <v>760</v>
      </c>
      <c r="C918">
        <v>25</v>
      </c>
      <c r="D918" t="s">
        <v>13</v>
      </c>
      <c r="E918" t="s">
        <v>46</v>
      </c>
      <c r="F918" t="s">
        <v>28</v>
      </c>
      <c r="G918" s="1">
        <v>45844</v>
      </c>
      <c r="H918" s="1">
        <v>45855</v>
      </c>
      <c r="I918" s="1" t="str">
        <f>TEXT(Table1[[#This Row],[Admission Date]],"MMMM")</f>
        <v>July</v>
      </c>
      <c r="J918">
        <v>11</v>
      </c>
      <c r="K918">
        <v>59752</v>
      </c>
    </row>
    <row r="919" spans="1:11" x14ac:dyDescent="0.3">
      <c r="A919" t="s">
        <v>1097</v>
      </c>
      <c r="B919" t="s">
        <v>188</v>
      </c>
      <c r="C919">
        <v>71</v>
      </c>
      <c r="D919" t="s">
        <v>13</v>
      </c>
      <c r="E919" t="s">
        <v>40</v>
      </c>
      <c r="F919" t="s">
        <v>35</v>
      </c>
      <c r="G919" s="1">
        <v>45927</v>
      </c>
      <c r="H919" s="1">
        <v>45932</v>
      </c>
      <c r="I919" s="1" t="str">
        <f>TEXT(Table1[[#This Row],[Admission Date]],"MMMM")</f>
        <v>September</v>
      </c>
      <c r="J919">
        <v>5</v>
      </c>
      <c r="K919">
        <v>37040</v>
      </c>
    </row>
    <row r="920" spans="1:11" x14ac:dyDescent="0.3">
      <c r="A920" t="s">
        <v>1098</v>
      </c>
      <c r="B920" t="s">
        <v>248</v>
      </c>
      <c r="C920">
        <v>9</v>
      </c>
      <c r="D920" t="s">
        <v>13</v>
      </c>
      <c r="E920" t="s">
        <v>19</v>
      </c>
      <c r="F920" t="s">
        <v>60</v>
      </c>
      <c r="G920" s="1">
        <v>45796</v>
      </c>
      <c r="H920" s="1">
        <v>45811</v>
      </c>
      <c r="I920" s="1" t="str">
        <f>TEXT(Table1[[#This Row],[Admission Date]],"MMMM")</f>
        <v>May</v>
      </c>
      <c r="J920">
        <v>15</v>
      </c>
      <c r="K920">
        <v>171540</v>
      </c>
    </row>
    <row r="921" spans="1:11" x14ac:dyDescent="0.3">
      <c r="A921" t="s">
        <v>1099</v>
      </c>
      <c r="B921" t="s">
        <v>378</v>
      </c>
      <c r="C921">
        <v>26</v>
      </c>
      <c r="D921" t="s">
        <v>13</v>
      </c>
      <c r="E921" t="s">
        <v>46</v>
      </c>
      <c r="F921" t="s">
        <v>20</v>
      </c>
      <c r="G921" s="1">
        <v>45931</v>
      </c>
      <c r="H921" s="1">
        <v>45934</v>
      </c>
      <c r="I921" s="1" t="str">
        <f>TEXT(Table1[[#This Row],[Admission Date]],"MMMM")</f>
        <v>October</v>
      </c>
      <c r="J921">
        <v>3</v>
      </c>
      <c r="K921">
        <v>28506</v>
      </c>
    </row>
    <row r="922" spans="1:11" x14ac:dyDescent="0.3">
      <c r="A922" t="s">
        <v>1100</v>
      </c>
      <c r="B922" t="s">
        <v>218</v>
      </c>
      <c r="C922">
        <v>59</v>
      </c>
      <c r="D922" t="s">
        <v>18</v>
      </c>
      <c r="E922" t="s">
        <v>103</v>
      </c>
      <c r="F922" t="s">
        <v>15</v>
      </c>
      <c r="G922" s="1">
        <v>45661</v>
      </c>
      <c r="H922" s="1">
        <v>45667</v>
      </c>
      <c r="I922" s="1" t="str">
        <f>TEXT(Table1[[#This Row],[Admission Date]],"MMMM")</f>
        <v>January</v>
      </c>
      <c r="J922">
        <v>6</v>
      </c>
      <c r="K922">
        <v>30552</v>
      </c>
    </row>
    <row r="923" spans="1:11" x14ac:dyDescent="0.3">
      <c r="A923" t="s">
        <v>1101</v>
      </c>
      <c r="B923" t="s">
        <v>221</v>
      </c>
      <c r="C923">
        <v>82</v>
      </c>
      <c r="D923" t="s">
        <v>13</v>
      </c>
      <c r="E923" t="s">
        <v>49</v>
      </c>
      <c r="F923" t="s">
        <v>43</v>
      </c>
      <c r="G923" s="1">
        <v>45717</v>
      </c>
      <c r="H923" s="1">
        <v>45726</v>
      </c>
      <c r="I923" s="1" t="str">
        <f>TEXT(Table1[[#This Row],[Admission Date]],"MMMM")</f>
        <v>March</v>
      </c>
      <c r="J923">
        <v>9</v>
      </c>
      <c r="K923">
        <v>84447</v>
      </c>
    </row>
    <row r="924" spans="1:11" x14ac:dyDescent="0.3">
      <c r="A924" t="s">
        <v>1102</v>
      </c>
      <c r="B924" t="s">
        <v>551</v>
      </c>
      <c r="C924">
        <v>30</v>
      </c>
      <c r="D924" t="s">
        <v>13</v>
      </c>
      <c r="E924" t="s">
        <v>27</v>
      </c>
      <c r="F924" t="s">
        <v>15</v>
      </c>
      <c r="G924" s="1">
        <v>45669</v>
      </c>
      <c r="H924" s="1">
        <v>45672</v>
      </c>
      <c r="I924" s="1" t="str">
        <f>TEXT(Table1[[#This Row],[Admission Date]],"MMMM")</f>
        <v>January</v>
      </c>
      <c r="J924">
        <v>3</v>
      </c>
      <c r="K924">
        <v>31950</v>
      </c>
    </row>
    <row r="925" spans="1:11" x14ac:dyDescent="0.3">
      <c r="A925" t="s">
        <v>1103</v>
      </c>
      <c r="B925" t="s">
        <v>446</v>
      </c>
      <c r="C925">
        <v>57</v>
      </c>
      <c r="D925" t="s">
        <v>18</v>
      </c>
      <c r="E925" t="s">
        <v>49</v>
      </c>
      <c r="F925" t="s">
        <v>28</v>
      </c>
      <c r="G925" s="1">
        <v>45929</v>
      </c>
      <c r="H925" s="1">
        <v>45933</v>
      </c>
      <c r="I925" s="1" t="str">
        <f>TEXT(Table1[[#This Row],[Admission Date]],"MMMM")</f>
        <v>September</v>
      </c>
      <c r="J925">
        <v>4</v>
      </c>
      <c r="K925">
        <v>37532</v>
      </c>
    </row>
    <row r="926" spans="1:11" x14ac:dyDescent="0.3">
      <c r="A926" t="s">
        <v>1104</v>
      </c>
      <c r="B926" t="s">
        <v>250</v>
      </c>
      <c r="C926">
        <v>64</v>
      </c>
      <c r="D926" t="s">
        <v>13</v>
      </c>
      <c r="E926" t="s">
        <v>34</v>
      </c>
      <c r="F926" t="s">
        <v>28</v>
      </c>
      <c r="G926" s="1">
        <v>45800</v>
      </c>
      <c r="H926" s="1">
        <v>45809</v>
      </c>
      <c r="I926" s="1" t="str">
        <f>TEXT(Table1[[#This Row],[Admission Date]],"MMMM")</f>
        <v>May</v>
      </c>
      <c r="J926">
        <v>9</v>
      </c>
      <c r="K926">
        <v>47538</v>
      </c>
    </row>
    <row r="927" spans="1:11" x14ac:dyDescent="0.3">
      <c r="A927" t="s">
        <v>1105</v>
      </c>
      <c r="B927" t="s">
        <v>202</v>
      </c>
      <c r="C927">
        <v>11</v>
      </c>
      <c r="D927" t="s">
        <v>13</v>
      </c>
      <c r="E927" t="s">
        <v>40</v>
      </c>
      <c r="F927" t="s">
        <v>20</v>
      </c>
      <c r="G927" s="1">
        <v>45786</v>
      </c>
      <c r="H927" s="1">
        <v>45789</v>
      </c>
      <c r="I927" s="1" t="str">
        <f>TEXT(Table1[[#This Row],[Admission Date]],"MMMM")</f>
        <v>May</v>
      </c>
      <c r="J927">
        <v>3</v>
      </c>
      <c r="K927">
        <v>29952</v>
      </c>
    </row>
    <row r="928" spans="1:11" x14ac:dyDescent="0.3">
      <c r="A928" t="s">
        <v>1106</v>
      </c>
      <c r="B928" t="s">
        <v>169</v>
      </c>
      <c r="C928">
        <v>7</v>
      </c>
      <c r="D928" t="s">
        <v>13</v>
      </c>
      <c r="E928" t="s">
        <v>46</v>
      </c>
      <c r="F928" t="s">
        <v>20</v>
      </c>
      <c r="G928" s="1">
        <v>45832</v>
      </c>
      <c r="H928" s="1">
        <v>45841</v>
      </c>
      <c r="I928" s="1" t="str">
        <f>TEXT(Table1[[#This Row],[Admission Date]],"MMMM")</f>
        <v>June</v>
      </c>
      <c r="J928">
        <v>9</v>
      </c>
      <c r="K928">
        <v>69057</v>
      </c>
    </row>
    <row r="929" spans="1:11" x14ac:dyDescent="0.3">
      <c r="A929" t="s">
        <v>1107</v>
      </c>
      <c r="B929" t="s">
        <v>378</v>
      </c>
      <c r="C929">
        <v>65</v>
      </c>
      <c r="D929" t="s">
        <v>18</v>
      </c>
      <c r="E929" t="s">
        <v>103</v>
      </c>
      <c r="F929" t="s">
        <v>28</v>
      </c>
      <c r="G929" s="1">
        <v>45865</v>
      </c>
      <c r="H929" s="1">
        <v>45872</v>
      </c>
      <c r="I929" s="1" t="str">
        <f>TEXT(Table1[[#This Row],[Admission Date]],"MMMM")</f>
        <v>July</v>
      </c>
      <c r="J929">
        <v>7</v>
      </c>
      <c r="K929">
        <v>38780</v>
      </c>
    </row>
    <row r="930" spans="1:11" x14ac:dyDescent="0.3">
      <c r="A930" t="s">
        <v>1108</v>
      </c>
      <c r="B930" t="s">
        <v>90</v>
      </c>
      <c r="C930">
        <v>34</v>
      </c>
      <c r="D930" t="s">
        <v>13</v>
      </c>
      <c r="E930" t="s">
        <v>46</v>
      </c>
      <c r="F930" t="s">
        <v>35</v>
      </c>
      <c r="G930" s="1">
        <v>45879</v>
      </c>
      <c r="H930" s="1">
        <v>45893</v>
      </c>
      <c r="I930" s="1" t="str">
        <f>TEXT(Table1[[#This Row],[Admission Date]],"MMMM")</f>
        <v>August</v>
      </c>
      <c r="J930">
        <v>14</v>
      </c>
      <c r="K930">
        <v>91266</v>
      </c>
    </row>
    <row r="931" spans="1:11" x14ac:dyDescent="0.3">
      <c r="A931" t="s">
        <v>1109</v>
      </c>
      <c r="B931" t="s">
        <v>83</v>
      </c>
      <c r="C931">
        <v>73</v>
      </c>
      <c r="D931" t="s">
        <v>13</v>
      </c>
      <c r="E931" t="s">
        <v>19</v>
      </c>
      <c r="F931" t="s">
        <v>35</v>
      </c>
      <c r="G931" s="1">
        <v>46017</v>
      </c>
      <c r="H931" s="1">
        <v>46031</v>
      </c>
      <c r="I931" s="1" t="str">
        <f>TEXT(Table1[[#This Row],[Admission Date]],"MMMM")</f>
        <v>December</v>
      </c>
      <c r="J931">
        <v>14</v>
      </c>
      <c r="K931">
        <v>103614</v>
      </c>
    </row>
    <row r="932" spans="1:11" x14ac:dyDescent="0.3">
      <c r="A932" t="s">
        <v>1110</v>
      </c>
      <c r="B932" t="s">
        <v>468</v>
      </c>
      <c r="C932">
        <v>12</v>
      </c>
      <c r="D932" t="s">
        <v>18</v>
      </c>
      <c r="E932" t="s">
        <v>46</v>
      </c>
      <c r="F932" t="s">
        <v>28</v>
      </c>
      <c r="G932" s="1">
        <v>45775</v>
      </c>
      <c r="H932" s="1">
        <v>45783</v>
      </c>
      <c r="I932" s="1" t="str">
        <f>TEXT(Table1[[#This Row],[Admission Date]],"MMMM")</f>
        <v>April</v>
      </c>
      <c r="J932">
        <v>8</v>
      </c>
      <c r="K932">
        <v>93488</v>
      </c>
    </row>
    <row r="933" spans="1:11" x14ac:dyDescent="0.3">
      <c r="A933" t="s">
        <v>1111</v>
      </c>
      <c r="B933" t="s">
        <v>179</v>
      </c>
      <c r="C933">
        <v>73</v>
      </c>
      <c r="D933" t="s">
        <v>13</v>
      </c>
      <c r="E933" t="s">
        <v>49</v>
      </c>
      <c r="F933" t="s">
        <v>24</v>
      </c>
      <c r="G933" s="1">
        <v>45786</v>
      </c>
      <c r="H933" s="1">
        <v>45801</v>
      </c>
      <c r="I933" s="1" t="str">
        <f>TEXT(Table1[[#This Row],[Admission Date]],"MMMM")</f>
        <v>May</v>
      </c>
      <c r="J933">
        <v>15</v>
      </c>
      <c r="K933">
        <v>124650</v>
      </c>
    </row>
    <row r="934" spans="1:11" x14ac:dyDescent="0.3">
      <c r="A934" t="s">
        <v>1112</v>
      </c>
      <c r="B934" t="s">
        <v>691</v>
      </c>
      <c r="C934">
        <v>58</v>
      </c>
      <c r="D934" t="s">
        <v>13</v>
      </c>
      <c r="E934" t="s">
        <v>49</v>
      </c>
      <c r="F934" t="s">
        <v>20</v>
      </c>
      <c r="G934" s="1">
        <v>45890</v>
      </c>
      <c r="H934" s="1">
        <v>45899</v>
      </c>
      <c r="I934" s="1" t="str">
        <f>TEXT(Table1[[#This Row],[Admission Date]],"MMMM")</f>
        <v>August</v>
      </c>
      <c r="J934">
        <v>9</v>
      </c>
      <c r="K934">
        <v>41310</v>
      </c>
    </row>
    <row r="935" spans="1:11" x14ac:dyDescent="0.3">
      <c r="A935" t="s">
        <v>1113</v>
      </c>
      <c r="B935" t="s">
        <v>252</v>
      </c>
      <c r="C935">
        <v>12</v>
      </c>
      <c r="D935" t="s">
        <v>13</v>
      </c>
      <c r="E935" t="s">
        <v>46</v>
      </c>
      <c r="F935" t="s">
        <v>63</v>
      </c>
      <c r="G935" s="1">
        <v>45721</v>
      </c>
      <c r="H935" s="1">
        <v>45735</v>
      </c>
      <c r="I935" s="1" t="str">
        <f>TEXT(Table1[[#This Row],[Admission Date]],"MMMM")</f>
        <v>March</v>
      </c>
      <c r="J935">
        <v>14</v>
      </c>
      <c r="K935">
        <v>89208</v>
      </c>
    </row>
    <row r="936" spans="1:11" x14ac:dyDescent="0.3">
      <c r="A936" t="s">
        <v>1114</v>
      </c>
      <c r="B936" t="s">
        <v>90</v>
      </c>
      <c r="C936">
        <v>90</v>
      </c>
      <c r="D936" t="s">
        <v>18</v>
      </c>
      <c r="E936" t="s">
        <v>40</v>
      </c>
      <c r="F936" t="s">
        <v>43</v>
      </c>
      <c r="G936" s="1">
        <v>45984</v>
      </c>
      <c r="H936" s="1">
        <v>45992</v>
      </c>
      <c r="I936" s="1" t="str">
        <f>TEXT(Table1[[#This Row],[Admission Date]],"MMMM")</f>
        <v>November</v>
      </c>
      <c r="J936">
        <v>8</v>
      </c>
      <c r="K936">
        <v>38240</v>
      </c>
    </row>
    <row r="937" spans="1:11" x14ac:dyDescent="0.3">
      <c r="A937" t="s">
        <v>1115</v>
      </c>
      <c r="B937" t="s">
        <v>252</v>
      </c>
      <c r="C937">
        <v>29</v>
      </c>
      <c r="D937" t="s">
        <v>18</v>
      </c>
      <c r="E937" t="s">
        <v>27</v>
      </c>
      <c r="F937" t="s">
        <v>35</v>
      </c>
      <c r="G937" s="1">
        <v>45947</v>
      </c>
      <c r="H937" s="1">
        <v>45962</v>
      </c>
      <c r="I937" s="1" t="str">
        <f>TEXT(Table1[[#This Row],[Admission Date]],"MMMM")</f>
        <v>October</v>
      </c>
      <c r="J937">
        <v>15</v>
      </c>
      <c r="K937">
        <v>148770</v>
      </c>
    </row>
    <row r="938" spans="1:11" x14ac:dyDescent="0.3">
      <c r="A938" t="s">
        <v>1116</v>
      </c>
      <c r="B938" t="s">
        <v>346</v>
      </c>
      <c r="C938">
        <v>75</v>
      </c>
      <c r="D938" t="s">
        <v>18</v>
      </c>
      <c r="E938" t="s">
        <v>46</v>
      </c>
      <c r="F938" t="s">
        <v>63</v>
      </c>
      <c r="G938" s="1">
        <v>46006</v>
      </c>
      <c r="H938" s="1">
        <v>46010</v>
      </c>
      <c r="I938" s="1" t="str">
        <f>TEXT(Table1[[#This Row],[Admission Date]],"MMMM")</f>
        <v>December</v>
      </c>
      <c r="J938">
        <v>4</v>
      </c>
      <c r="K938">
        <v>16484</v>
      </c>
    </row>
    <row r="939" spans="1:11" x14ac:dyDescent="0.3">
      <c r="A939" t="s">
        <v>1117</v>
      </c>
      <c r="B939" t="s">
        <v>376</v>
      </c>
      <c r="C939">
        <v>64</v>
      </c>
      <c r="D939" t="s">
        <v>13</v>
      </c>
      <c r="E939" t="s">
        <v>31</v>
      </c>
      <c r="F939" t="s">
        <v>43</v>
      </c>
      <c r="G939" s="1">
        <v>45900</v>
      </c>
      <c r="H939" s="1">
        <v>45912</v>
      </c>
      <c r="I939" s="1" t="str">
        <f>TEXT(Table1[[#This Row],[Admission Date]],"MMMM")</f>
        <v>August</v>
      </c>
      <c r="J939">
        <v>12</v>
      </c>
      <c r="K939">
        <v>102180</v>
      </c>
    </row>
    <row r="940" spans="1:11" x14ac:dyDescent="0.3">
      <c r="A940" t="s">
        <v>1118</v>
      </c>
      <c r="B940" t="s">
        <v>274</v>
      </c>
      <c r="C940">
        <v>80</v>
      </c>
      <c r="D940" t="s">
        <v>13</v>
      </c>
      <c r="E940" t="s">
        <v>46</v>
      </c>
      <c r="F940" t="s">
        <v>63</v>
      </c>
      <c r="G940" s="1">
        <v>45790</v>
      </c>
      <c r="H940" s="1">
        <v>45794</v>
      </c>
      <c r="I940" s="1" t="str">
        <f>TEXT(Table1[[#This Row],[Admission Date]],"MMMM")</f>
        <v>May</v>
      </c>
      <c r="J940">
        <v>4</v>
      </c>
      <c r="K940">
        <v>42928</v>
      </c>
    </row>
    <row r="941" spans="1:11" x14ac:dyDescent="0.3">
      <c r="A941" t="s">
        <v>1119</v>
      </c>
      <c r="B941" t="s">
        <v>378</v>
      </c>
      <c r="C941">
        <v>3</v>
      </c>
      <c r="D941" t="s">
        <v>18</v>
      </c>
      <c r="E941" t="s">
        <v>40</v>
      </c>
      <c r="F941" t="s">
        <v>60</v>
      </c>
      <c r="G941" s="1">
        <v>45895</v>
      </c>
      <c r="H941" s="1">
        <v>45909</v>
      </c>
      <c r="I941" s="1" t="str">
        <f>TEXT(Table1[[#This Row],[Admission Date]],"MMMM")</f>
        <v>August</v>
      </c>
      <c r="J941">
        <v>14</v>
      </c>
      <c r="K941">
        <v>117572</v>
      </c>
    </row>
    <row r="942" spans="1:11" x14ac:dyDescent="0.3">
      <c r="A942" t="s">
        <v>1120</v>
      </c>
      <c r="B942" t="s">
        <v>246</v>
      </c>
      <c r="C942">
        <v>9</v>
      </c>
      <c r="D942" t="s">
        <v>13</v>
      </c>
      <c r="E942" t="s">
        <v>49</v>
      </c>
      <c r="F942" t="s">
        <v>24</v>
      </c>
      <c r="G942" s="1">
        <v>45747</v>
      </c>
      <c r="H942" s="1">
        <v>45752</v>
      </c>
      <c r="I942" s="1" t="str">
        <f>TEXT(Table1[[#This Row],[Admission Date]],"MMMM")</f>
        <v>March</v>
      </c>
      <c r="J942">
        <v>5</v>
      </c>
      <c r="K942">
        <v>51830</v>
      </c>
    </row>
    <row r="943" spans="1:11" x14ac:dyDescent="0.3">
      <c r="A943" t="s">
        <v>1121</v>
      </c>
      <c r="B943" t="s">
        <v>94</v>
      </c>
      <c r="C943">
        <v>35</v>
      </c>
      <c r="D943" t="s">
        <v>13</v>
      </c>
      <c r="E943" t="s">
        <v>40</v>
      </c>
      <c r="F943" t="s">
        <v>24</v>
      </c>
      <c r="G943" s="1">
        <v>45700</v>
      </c>
      <c r="H943" s="1">
        <v>45712</v>
      </c>
      <c r="I943" s="1" t="str">
        <f>TEXT(Table1[[#This Row],[Admission Date]],"MMMM")</f>
        <v>February</v>
      </c>
      <c r="J943">
        <v>12</v>
      </c>
      <c r="K943">
        <v>87864</v>
      </c>
    </row>
    <row r="944" spans="1:11" x14ac:dyDescent="0.3">
      <c r="A944" t="s">
        <v>1122</v>
      </c>
      <c r="B944" t="s">
        <v>208</v>
      </c>
      <c r="C944">
        <v>32</v>
      </c>
      <c r="D944" t="s">
        <v>13</v>
      </c>
      <c r="E944" t="s">
        <v>49</v>
      </c>
      <c r="F944" t="s">
        <v>63</v>
      </c>
      <c r="G944" s="1">
        <v>45800</v>
      </c>
      <c r="H944" s="1">
        <v>45808</v>
      </c>
      <c r="I944" s="1" t="str">
        <f>TEXT(Table1[[#This Row],[Admission Date]],"MMMM")</f>
        <v>May</v>
      </c>
      <c r="J944">
        <v>8</v>
      </c>
      <c r="K944">
        <v>48384</v>
      </c>
    </row>
    <row r="945" spans="1:11" x14ac:dyDescent="0.3">
      <c r="A945" t="s">
        <v>1123</v>
      </c>
      <c r="B945" t="s">
        <v>73</v>
      </c>
      <c r="C945">
        <v>77</v>
      </c>
      <c r="D945" t="s">
        <v>13</v>
      </c>
      <c r="E945" t="s">
        <v>23</v>
      </c>
      <c r="F945" t="s">
        <v>60</v>
      </c>
      <c r="G945" s="1">
        <v>45662</v>
      </c>
      <c r="H945" s="1">
        <v>45666</v>
      </c>
      <c r="I945" s="1" t="str">
        <f>TEXT(Table1[[#This Row],[Admission Date]],"MMMM")</f>
        <v>January</v>
      </c>
      <c r="J945">
        <v>4</v>
      </c>
      <c r="K945">
        <v>23640</v>
      </c>
    </row>
    <row r="946" spans="1:11" x14ac:dyDescent="0.3">
      <c r="A946" t="s">
        <v>1124</v>
      </c>
      <c r="B946" t="s">
        <v>169</v>
      </c>
      <c r="C946">
        <v>53</v>
      </c>
      <c r="D946" t="s">
        <v>13</v>
      </c>
      <c r="E946" t="s">
        <v>40</v>
      </c>
      <c r="F946" t="s">
        <v>43</v>
      </c>
      <c r="G946" s="1">
        <v>45832</v>
      </c>
      <c r="H946" s="1">
        <v>45834</v>
      </c>
      <c r="I946" s="1" t="str">
        <f>TEXT(Table1[[#This Row],[Admission Date]],"MMMM")</f>
        <v>June</v>
      </c>
      <c r="J946">
        <v>2</v>
      </c>
      <c r="K946">
        <v>16560</v>
      </c>
    </row>
    <row r="947" spans="1:11" x14ac:dyDescent="0.3">
      <c r="A947" t="s">
        <v>1125</v>
      </c>
      <c r="B947" t="s">
        <v>555</v>
      </c>
      <c r="C947">
        <v>82</v>
      </c>
      <c r="D947" t="s">
        <v>13</v>
      </c>
      <c r="E947" t="s">
        <v>103</v>
      </c>
      <c r="F947" t="s">
        <v>28</v>
      </c>
      <c r="G947" s="1">
        <v>45943</v>
      </c>
      <c r="H947" s="1">
        <v>45956</v>
      </c>
      <c r="I947" s="1" t="str">
        <f>TEXT(Table1[[#This Row],[Admission Date]],"MMMM")</f>
        <v>October</v>
      </c>
      <c r="J947">
        <v>13</v>
      </c>
      <c r="K947">
        <v>80483</v>
      </c>
    </row>
    <row r="948" spans="1:11" x14ac:dyDescent="0.3">
      <c r="A948" t="s">
        <v>1126</v>
      </c>
      <c r="B948" t="s">
        <v>177</v>
      </c>
      <c r="C948">
        <v>38</v>
      </c>
      <c r="D948" t="s">
        <v>18</v>
      </c>
      <c r="E948" t="s">
        <v>27</v>
      </c>
      <c r="F948" t="s">
        <v>60</v>
      </c>
      <c r="G948" s="1">
        <v>45672</v>
      </c>
      <c r="H948" s="1">
        <v>45679</v>
      </c>
      <c r="I948" s="1" t="str">
        <f>TEXT(Table1[[#This Row],[Admission Date]],"MMMM")</f>
        <v>January</v>
      </c>
      <c r="J948">
        <v>7</v>
      </c>
      <c r="K948">
        <v>35819</v>
      </c>
    </row>
    <row r="949" spans="1:11" x14ac:dyDescent="0.3">
      <c r="A949" t="s">
        <v>1127</v>
      </c>
      <c r="B949" t="s">
        <v>179</v>
      </c>
      <c r="C949">
        <v>63</v>
      </c>
      <c r="D949" t="s">
        <v>18</v>
      </c>
      <c r="E949" t="s">
        <v>23</v>
      </c>
      <c r="F949" t="s">
        <v>35</v>
      </c>
      <c r="G949" s="1">
        <v>45989</v>
      </c>
      <c r="H949" s="1">
        <v>46004</v>
      </c>
      <c r="I949" s="1" t="str">
        <f>TEXT(Table1[[#This Row],[Admission Date]],"MMMM")</f>
        <v>November</v>
      </c>
      <c r="J949">
        <v>15</v>
      </c>
      <c r="K949">
        <v>82710</v>
      </c>
    </row>
    <row r="950" spans="1:11" x14ac:dyDescent="0.3">
      <c r="A950" t="s">
        <v>1128</v>
      </c>
      <c r="B950" t="s">
        <v>200</v>
      </c>
      <c r="C950">
        <v>52</v>
      </c>
      <c r="D950" t="s">
        <v>18</v>
      </c>
      <c r="E950" t="s">
        <v>34</v>
      </c>
      <c r="F950" t="s">
        <v>28</v>
      </c>
      <c r="G950" s="1">
        <v>46003</v>
      </c>
      <c r="H950" s="1">
        <v>46012</v>
      </c>
      <c r="I950" s="1" t="str">
        <f>TEXT(Table1[[#This Row],[Admission Date]],"MMMM")</f>
        <v>December</v>
      </c>
      <c r="J950">
        <v>9</v>
      </c>
      <c r="K950">
        <v>52731</v>
      </c>
    </row>
    <row r="951" spans="1:11" x14ac:dyDescent="0.3">
      <c r="A951" t="s">
        <v>1129</v>
      </c>
      <c r="B951" t="s">
        <v>67</v>
      </c>
      <c r="C951">
        <v>51</v>
      </c>
      <c r="D951" t="s">
        <v>13</v>
      </c>
      <c r="E951" t="s">
        <v>34</v>
      </c>
      <c r="F951" t="s">
        <v>63</v>
      </c>
      <c r="G951" s="1">
        <v>45915</v>
      </c>
      <c r="H951" s="1">
        <v>45918</v>
      </c>
      <c r="I951" s="1" t="str">
        <f>TEXT(Table1[[#This Row],[Admission Date]],"MMMM")</f>
        <v>September</v>
      </c>
      <c r="J951">
        <v>3</v>
      </c>
      <c r="K951">
        <v>22803</v>
      </c>
    </row>
    <row r="952" spans="1:11" x14ac:dyDescent="0.3">
      <c r="A952" t="s">
        <v>1130</v>
      </c>
      <c r="B952" t="s">
        <v>37</v>
      </c>
      <c r="C952">
        <v>13</v>
      </c>
      <c r="D952" t="s">
        <v>18</v>
      </c>
      <c r="E952" t="s">
        <v>46</v>
      </c>
      <c r="F952" t="s">
        <v>60</v>
      </c>
      <c r="G952" s="1">
        <v>45833</v>
      </c>
      <c r="H952" s="1">
        <v>45834</v>
      </c>
      <c r="I952" s="1" t="str">
        <f>TEXT(Table1[[#This Row],[Admission Date]],"MMMM")</f>
        <v>June</v>
      </c>
      <c r="J952">
        <v>1</v>
      </c>
      <c r="K952">
        <v>5886</v>
      </c>
    </row>
    <row r="953" spans="1:11" x14ac:dyDescent="0.3">
      <c r="A953" t="s">
        <v>1131</v>
      </c>
      <c r="B953" t="s">
        <v>551</v>
      </c>
      <c r="C953">
        <v>17</v>
      </c>
      <c r="D953" t="s">
        <v>13</v>
      </c>
      <c r="E953" t="s">
        <v>40</v>
      </c>
      <c r="F953" t="s">
        <v>60</v>
      </c>
      <c r="G953" s="1">
        <v>46017</v>
      </c>
      <c r="H953" s="1">
        <v>46025</v>
      </c>
      <c r="I953" s="1" t="str">
        <f>TEXT(Table1[[#This Row],[Admission Date]],"MMMM")</f>
        <v>December</v>
      </c>
      <c r="J953">
        <v>8</v>
      </c>
      <c r="K953">
        <v>93184</v>
      </c>
    </row>
    <row r="954" spans="1:11" x14ac:dyDescent="0.3">
      <c r="A954" t="s">
        <v>1132</v>
      </c>
      <c r="B954" t="s">
        <v>309</v>
      </c>
      <c r="C954">
        <v>4</v>
      </c>
      <c r="D954" t="s">
        <v>13</v>
      </c>
      <c r="E954" t="s">
        <v>31</v>
      </c>
      <c r="F954" t="s">
        <v>60</v>
      </c>
      <c r="G954" s="1">
        <v>45702</v>
      </c>
      <c r="H954" s="1">
        <v>45714</v>
      </c>
      <c r="I954" s="1" t="str">
        <f>TEXT(Table1[[#This Row],[Admission Date]],"MMMM")</f>
        <v>February</v>
      </c>
      <c r="J954">
        <v>12</v>
      </c>
      <c r="K954">
        <v>69156</v>
      </c>
    </row>
    <row r="955" spans="1:11" x14ac:dyDescent="0.3">
      <c r="A955" t="s">
        <v>1133</v>
      </c>
      <c r="B955" t="s">
        <v>248</v>
      </c>
      <c r="C955">
        <v>59</v>
      </c>
      <c r="D955" t="s">
        <v>18</v>
      </c>
      <c r="E955" t="s">
        <v>46</v>
      </c>
      <c r="F955" t="s">
        <v>15</v>
      </c>
      <c r="G955" s="1">
        <v>45668</v>
      </c>
      <c r="H955" s="1">
        <v>45676</v>
      </c>
      <c r="I955" s="1" t="str">
        <f>TEXT(Table1[[#This Row],[Admission Date]],"MMMM")</f>
        <v>January</v>
      </c>
      <c r="J955">
        <v>8</v>
      </c>
      <c r="K955">
        <v>88384</v>
      </c>
    </row>
    <row r="956" spans="1:11" x14ac:dyDescent="0.3">
      <c r="A956" t="s">
        <v>1134</v>
      </c>
      <c r="B956" t="s">
        <v>398</v>
      </c>
      <c r="C956">
        <v>39</v>
      </c>
      <c r="D956" t="s">
        <v>18</v>
      </c>
      <c r="E956" t="s">
        <v>19</v>
      </c>
      <c r="F956" t="s">
        <v>63</v>
      </c>
      <c r="G956" s="1">
        <v>45808</v>
      </c>
      <c r="H956" s="1">
        <v>45822</v>
      </c>
      <c r="I956" s="1" t="str">
        <f>TEXT(Table1[[#This Row],[Admission Date]],"MMMM")</f>
        <v>May</v>
      </c>
      <c r="J956">
        <v>14</v>
      </c>
      <c r="K956">
        <v>144214</v>
      </c>
    </row>
    <row r="957" spans="1:11" x14ac:dyDescent="0.3">
      <c r="A957" t="s">
        <v>1135</v>
      </c>
      <c r="B957" t="s">
        <v>117</v>
      </c>
      <c r="C957">
        <v>19</v>
      </c>
      <c r="D957" t="s">
        <v>13</v>
      </c>
      <c r="E957" t="s">
        <v>49</v>
      </c>
      <c r="F957" t="s">
        <v>35</v>
      </c>
      <c r="G957" s="1">
        <v>45676</v>
      </c>
      <c r="H957" s="1">
        <v>45678</v>
      </c>
      <c r="I957" s="1" t="str">
        <f>TEXT(Table1[[#This Row],[Admission Date]],"MMMM")</f>
        <v>January</v>
      </c>
      <c r="J957">
        <v>2</v>
      </c>
      <c r="K957">
        <v>19198</v>
      </c>
    </row>
    <row r="958" spans="1:11" x14ac:dyDescent="0.3">
      <c r="A958" t="s">
        <v>1136</v>
      </c>
      <c r="B958" t="s">
        <v>482</v>
      </c>
      <c r="C958">
        <v>72</v>
      </c>
      <c r="D958" t="s">
        <v>18</v>
      </c>
      <c r="E958" t="s">
        <v>27</v>
      </c>
      <c r="F958" t="s">
        <v>35</v>
      </c>
      <c r="G958" s="1">
        <v>45746</v>
      </c>
      <c r="H958" s="1">
        <v>45757</v>
      </c>
      <c r="I958" s="1" t="str">
        <f>TEXT(Table1[[#This Row],[Admission Date]],"MMMM")</f>
        <v>March</v>
      </c>
      <c r="J958">
        <v>11</v>
      </c>
      <c r="K958">
        <v>90717</v>
      </c>
    </row>
    <row r="959" spans="1:11" x14ac:dyDescent="0.3">
      <c r="A959" t="s">
        <v>1137</v>
      </c>
      <c r="B959" t="s">
        <v>152</v>
      </c>
      <c r="C959">
        <v>14</v>
      </c>
      <c r="D959" t="s">
        <v>13</v>
      </c>
      <c r="E959" t="s">
        <v>46</v>
      </c>
      <c r="F959" t="s">
        <v>63</v>
      </c>
      <c r="G959" s="1">
        <v>45667</v>
      </c>
      <c r="H959" s="1">
        <v>45668</v>
      </c>
      <c r="I959" s="1" t="str">
        <f>TEXT(Table1[[#This Row],[Admission Date]],"MMMM")</f>
        <v>January</v>
      </c>
      <c r="J959">
        <v>1</v>
      </c>
      <c r="K959">
        <v>7856</v>
      </c>
    </row>
    <row r="960" spans="1:11" x14ac:dyDescent="0.3">
      <c r="A960" t="s">
        <v>1138</v>
      </c>
      <c r="B960" t="s">
        <v>410</v>
      </c>
      <c r="C960">
        <v>13</v>
      </c>
      <c r="D960" t="s">
        <v>18</v>
      </c>
      <c r="E960" t="s">
        <v>103</v>
      </c>
      <c r="F960" t="s">
        <v>24</v>
      </c>
      <c r="G960" s="1">
        <v>45821</v>
      </c>
      <c r="H960" s="1">
        <v>45833</v>
      </c>
      <c r="I960" s="1" t="str">
        <f>TEXT(Table1[[#This Row],[Admission Date]],"MMMM")</f>
        <v>June</v>
      </c>
      <c r="J960">
        <v>12</v>
      </c>
      <c r="K960">
        <v>60180</v>
      </c>
    </row>
    <row r="961" spans="1:11" x14ac:dyDescent="0.3">
      <c r="A961" t="s">
        <v>1139</v>
      </c>
      <c r="B961" t="s">
        <v>367</v>
      </c>
      <c r="C961">
        <v>87</v>
      </c>
      <c r="D961" t="s">
        <v>18</v>
      </c>
      <c r="E961" t="s">
        <v>31</v>
      </c>
      <c r="F961" t="s">
        <v>43</v>
      </c>
      <c r="G961" s="1">
        <v>45946</v>
      </c>
      <c r="H961" s="1">
        <v>45948</v>
      </c>
      <c r="I961" s="1" t="str">
        <f>TEXT(Table1[[#This Row],[Admission Date]],"MMMM")</f>
        <v>October</v>
      </c>
      <c r="J961">
        <v>2</v>
      </c>
      <c r="K961">
        <v>16578</v>
      </c>
    </row>
    <row r="962" spans="1:11" x14ac:dyDescent="0.3">
      <c r="A962" t="s">
        <v>1140</v>
      </c>
      <c r="B962" t="s">
        <v>87</v>
      </c>
      <c r="C962">
        <v>77</v>
      </c>
      <c r="D962" t="s">
        <v>18</v>
      </c>
      <c r="E962" t="s">
        <v>23</v>
      </c>
      <c r="F962" t="s">
        <v>35</v>
      </c>
      <c r="G962" s="1">
        <v>45906</v>
      </c>
      <c r="H962" s="1">
        <v>45910</v>
      </c>
      <c r="I962" s="1" t="str">
        <f>TEXT(Table1[[#This Row],[Admission Date]],"MMMM")</f>
        <v>September</v>
      </c>
      <c r="J962">
        <v>4</v>
      </c>
      <c r="K962">
        <v>37748</v>
      </c>
    </row>
    <row r="963" spans="1:11" x14ac:dyDescent="0.3">
      <c r="A963" t="s">
        <v>1141</v>
      </c>
      <c r="B963" t="s">
        <v>179</v>
      </c>
      <c r="C963">
        <v>5</v>
      </c>
      <c r="D963" t="s">
        <v>18</v>
      </c>
      <c r="E963" t="s">
        <v>14</v>
      </c>
      <c r="F963" t="s">
        <v>60</v>
      </c>
      <c r="G963" s="1">
        <v>45720</v>
      </c>
      <c r="H963" s="1">
        <v>45728</v>
      </c>
      <c r="I963" s="1" t="str">
        <f>TEXT(Table1[[#This Row],[Admission Date]],"MMMM")</f>
        <v>March</v>
      </c>
      <c r="J963">
        <v>8</v>
      </c>
      <c r="K963">
        <v>92400</v>
      </c>
    </row>
    <row r="964" spans="1:11" x14ac:dyDescent="0.3">
      <c r="A964" t="s">
        <v>1142</v>
      </c>
      <c r="B964" t="s">
        <v>71</v>
      </c>
      <c r="C964">
        <v>63</v>
      </c>
      <c r="D964" t="s">
        <v>13</v>
      </c>
      <c r="E964" t="s">
        <v>103</v>
      </c>
      <c r="F964" t="s">
        <v>43</v>
      </c>
      <c r="G964" s="1">
        <v>45766</v>
      </c>
      <c r="H964" s="1">
        <v>45778</v>
      </c>
      <c r="I964" s="1" t="str">
        <f>TEXT(Table1[[#This Row],[Admission Date]],"MMMM")</f>
        <v>April</v>
      </c>
      <c r="J964">
        <v>12</v>
      </c>
      <c r="K964">
        <v>140124</v>
      </c>
    </row>
    <row r="965" spans="1:11" x14ac:dyDescent="0.3">
      <c r="A965" t="s">
        <v>1143</v>
      </c>
      <c r="B965" t="s">
        <v>152</v>
      </c>
      <c r="C965">
        <v>47</v>
      </c>
      <c r="D965" t="s">
        <v>18</v>
      </c>
      <c r="E965" t="s">
        <v>31</v>
      </c>
      <c r="F965" t="s">
        <v>63</v>
      </c>
      <c r="G965" s="1">
        <v>45749</v>
      </c>
      <c r="H965" s="1">
        <v>45762</v>
      </c>
      <c r="I965" s="1" t="str">
        <f>TEXT(Table1[[#This Row],[Admission Date]],"MMMM")</f>
        <v>April</v>
      </c>
      <c r="J965">
        <v>13</v>
      </c>
      <c r="K965">
        <v>115921</v>
      </c>
    </row>
    <row r="966" spans="1:11" x14ac:dyDescent="0.3">
      <c r="A966" t="s">
        <v>1144</v>
      </c>
      <c r="B966" t="s">
        <v>126</v>
      </c>
      <c r="C966">
        <v>44</v>
      </c>
      <c r="D966" t="s">
        <v>18</v>
      </c>
      <c r="E966" t="s">
        <v>14</v>
      </c>
      <c r="F966" t="s">
        <v>24</v>
      </c>
      <c r="G966" s="1">
        <v>45795</v>
      </c>
      <c r="H966" s="1">
        <v>45799</v>
      </c>
      <c r="I966" s="1" t="str">
        <f>TEXT(Table1[[#This Row],[Admission Date]],"MMMM")</f>
        <v>May</v>
      </c>
      <c r="J966">
        <v>4</v>
      </c>
      <c r="K966">
        <v>28136</v>
      </c>
    </row>
    <row r="967" spans="1:11" x14ac:dyDescent="0.3">
      <c r="A967" t="s">
        <v>1145</v>
      </c>
      <c r="B967" t="s">
        <v>382</v>
      </c>
      <c r="C967">
        <v>55</v>
      </c>
      <c r="D967" t="s">
        <v>13</v>
      </c>
      <c r="E967" t="s">
        <v>40</v>
      </c>
      <c r="F967" t="s">
        <v>43</v>
      </c>
      <c r="G967" s="1">
        <v>45955</v>
      </c>
      <c r="H967" s="1">
        <v>45963</v>
      </c>
      <c r="I967" s="1" t="str">
        <f>TEXT(Table1[[#This Row],[Admission Date]],"MMMM")</f>
        <v>October</v>
      </c>
      <c r="J967">
        <v>8</v>
      </c>
      <c r="K967">
        <v>91976</v>
      </c>
    </row>
    <row r="968" spans="1:11" x14ac:dyDescent="0.3">
      <c r="A968" t="s">
        <v>1146</v>
      </c>
      <c r="B968" t="s">
        <v>432</v>
      </c>
      <c r="C968">
        <v>53</v>
      </c>
      <c r="D968" t="s">
        <v>13</v>
      </c>
      <c r="E968" t="s">
        <v>103</v>
      </c>
      <c r="F968" t="s">
        <v>60</v>
      </c>
      <c r="G968" s="1">
        <v>45970</v>
      </c>
      <c r="H968" s="1">
        <v>45977</v>
      </c>
      <c r="I968" s="1" t="str">
        <f>TEXT(Table1[[#This Row],[Admission Date]],"MMMM")</f>
        <v>November</v>
      </c>
      <c r="J968">
        <v>7</v>
      </c>
      <c r="K968">
        <v>51905</v>
      </c>
    </row>
    <row r="969" spans="1:11" x14ac:dyDescent="0.3">
      <c r="A969" t="s">
        <v>1147</v>
      </c>
      <c r="B969" t="s">
        <v>99</v>
      </c>
      <c r="C969">
        <v>49</v>
      </c>
      <c r="D969" t="s">
        <v>13</v>
      </c>
      <c r="E969" t="s">
        <v>14</v>
      </c>
      <c r="F969" t="s">
        <v>20</v>
      </c>
      <c r="G969" s="1">
        <v>45838</v>
      </c>
      <c r="H969" s="1">
        <v>45849</v>
      </c>
      <c r="I969" s="1" t="str">
        <f>TEXT(Table1[[#This Row],[Admission Date]],"MMMM")</f>
        <v>June</v>
      </c>
      <c r="J969">
        <v>11</v>
      </c>
      <c r="K969">
        <v>87703</v>
      </c>
    </row>
    <row r="970" spans="1:11" x14ac:dyDescent="0.3">
      <c r="A970" t="s">
        <v>1148</v>
      </c>
      <c r="B970" t="s">
        <v>37</v>
      </c>
      <c r="C970">
        <v>84</v>
      </c>
      <c r="D970" t="s">
        <v>13</v>
      </c>
      <c r="E970" t="s">
        <v>19</v>
      </c>
      <c r="F970" t="s">
        <v>35</v>
      </c>
      <c r="G970" s="1">
        <v>45747</v>
      </c>
      <c r="H970" s="1">
        <v>45749</v>
      </c>
      <c r="I970" s="1" t="str">
        <f>TEXT(Table1[[#This Row],[Admission Date]],"MMMM")</f>
        <v>March</v>
      </c>
      <c r="J970">
        <v>2</v>
      </c>
      <c r="K970">
        <v>15070</v>
      </c>
    </row>
    <row r="971" spans="1:11" x14ac:dyDescent="0.3">
      <c r="A971" t="s">
        <v>1149</v>
      </c>
      <c r="B971" t="s">
        <v>94</v>
      </c>
      <c r="C971">
        <v>89</v>
      </c>
      <c r="D971" t="s">
        <v>18</v>
      </c>
      <c r="E971" t="s">
        <v>27</v>
      </c>
      <c r="F971" t="s">
        <v>28</v>
      </c>
      <c r="G971" s="1">
        <v>45982</v>
      </c>
      <c r="H971" s="1">
        <v>45983</v>
      </c>
      <c r="I971" s="1" t="str">
        <f>TEXT(Table1[[#This Row],[Admission Date]],"MMMM")</f>
        <v>November</v>
      </c>
      <c r="J971">
        <v>1</v>
      </c>
      <c r="K971">
        <v>5364</v>
      </c>
    </row>
    <row r="972" spans="1:11" x14ac:dyDescent="0.3">
      <c r="A972" t="s">
        <v>1150</v>
      </c>
      <c r="B972" t="s">
        <v>22</v>
      </c>
      <c r="C972">
        <v>9</v>
      </c>
      <c r="D972" t="s">
        <v>13</v>
      </c>
      <c r="E972" t="s">
        <v>14</v>
      </c>
      <c r="F972" t="s">
        <v>35</v>
      </c>
      <c r="G972" s="1">
        <v>45749</v>
      </c>
      <c r="H972" s="1">
        <v>45764</v>
      </c>
      <c r="I972" s="1" t="str">
        <f>TEXT(Table1[[#This Row],[Admission Date]],"MMMM")</f>
        <v>April</v>
      </c>
      <c r="J972">
        <v>15</v>
      </c>
      <c r="K972">
        <v>90000</v>
      </c>
    </row>
    <row r="973" spans="1:11" x14ac:dyDescent="0.3">
      <c r="A973" t="s">
        <v>1151</v>
      </c>
      <c r="B973" t="s">
        <v>257</v>
      </c>
      <c r="C973">
        <v>18</v>
      </c>
      <c r="D973" t="s">
        <v>18</v>
      </c>
      <c r="E973" t="s">
        <v>19</v>
      </c>
      <c r="F973" t="s">
        <v>35</v>
      </c>
      <c r="G973" s="1">
        <v>45664</v>
      </c>
      <c r="H973" s="1">
        <v>45669</v>
      </c>
      <c r="I973" s="1" t="str">
        <f>TEXT(Table1[[#This Row],[Admission Date]],"MMMM")</f>
        <v>January</v>
      </c>
      <c r="J973">
        <v>5</v>
      </c>
      <c r="K973">
        <v>57800</v>
      </c>
    </row>
    <row r="974" spans="1:11" x14ac:dyDescent="0.3">
      <c r="A974" t="s">
        <v>1152</v>
      </c>
      <c r="B974" t="s">
        <v>85</v>
      </c>
      <c r="C974">
        <v>59</v>
      </c>
      <c r="D974" t="s">
        <v>18</v>
      </c>
      <c r="E974" t="s">
        <v>103</v>
      </c>
      <c r="F974" t="s">
        <v>43</v>
      </c>
      <c r="G974" s="1">
        <v>46002</v>
      </c>
      <c r="H974" s="1">
        <v>46012</v>
      </c>
      <c r="I974" s="1" t="str">
        <f>TEXT(Table1[[#This Row],[Admission Date]],"MMMM")</f>
        <v>December</v>
      </c>
      <c r="J974">
        <v>10</v>
      </c>
      <c r="K974">
        <v>72130</v>
      </c>
    </row>
    <row r="975" spans="1:11" x14ac:dyDescent="0.3">
      <c r="A975" t="s">
        <v>1153</v>
      </c>
      <c r="B975" t="s">
        <v>197</v>
      </c>
      <c r="C975">
        <v>35</v>
      </c>
      <c r="D975" t="s">
        <v>13</v>
      </c>
      <c r="E975" t="s">
        <v>103</v>
      </c>
      <c r="F975" t="s">
        <v>63</v>
      </c>
      <c r="G975" s="1">
        <v>45888</v>
      </c>
      <c r="H975" s="1">
        <v>45893</v>
      </c>
      <c r="I975" s="1" t="str">
        <f>TEXT(Table1[[#This Row],[Admission Date]],"MMMM")</f>
        <v>August</v>
      </c>
      <c r="J975">
        <v>5</v>
      </c>
      <c r="K975">
        <v>53720</v>
      </c>
    </row>
    <row r="976" spans="1:11" x14ac:dyDescent="0.3">
      <c r="A976" t="s">
        <v>1154</v>
      </c>
      <c r="B976" t="s">
        <v>57</v>
      </c>
      <c r="C976">
        <v>41</v>
      </c>
      <c r="D976" t="s">
        <v>18</v>
      </c>
      <c r="E976" t="s">
        <v>103</v>
      </c>
      <c r="F976" t="s">
        <v>15</v>
      </c>
      <c r="G976" s="1">
        <v>45715</v>
      </c>
      <c r="H976" s="1">
        <v>45720</v>
      </c>
      <c r="I976" s="1" t="str">
        <f>TEXT(Table1[[#This Row],[Admission Date]],"MMMM")</f>
        <v>February</v>
      </c>
      <c r="J976">
        <v>5</v>
      </c>
      <c r="K976">
        <v>52260</v>
      </c>
    </row>
    <row r="977" spans="1:11" x14ac:dyDescent="0.3">
      <c r="A977" t="s">
        <v>1155</v>
      </c>
      <c r="B977" t="s">
        <v>172</v>
      </c>
      <c r="C977">
        <v>41</v>
      </c>
      <c r="D977" t="s">
        <v>13</v>
      </c>
      <c r="E977" t="s">
        <v>19</v>
      </c>
      <c r="F977" t="s">
        <v>60</v>
      </c>
      <c r="G977" s="1">
        <v>46009</v>
      </c>
      <c r="H977" s="1">
        <v>46010</v>
      </c>
      <c r="I977" s="1" t="str">
        <f>TEXT(Table1[[#This Row],[Admission Date]],"MMMM")</f>
        <v>December</v>
      </c>
      <c r="J977">
        <v>1</v>
      </c>
      <c r="K977">
        <v>10776</v>
      </c>
    </row>
    <row r="978" spans="1:11" x14ac:dyDescent="0.3">
      <c r="A978" t="s">
        <v>1156</v>
      </c>
      <c r="B978" t="s">
        <v>410</v>
      </c>
      <c r="C978">
        <v>38</v>
      </c>
      <c r="D978" t="s">
        <v>13</v>
      </c>
      <c r="E978" t="s">
        <v>31</v>
      </c>
      <c r="F978" t="s">
        <v>35</v>
      </c>
      <c r="G978" s="1">
        <v>45662</v>
      </c>
      <c r="H978" s="1">
        <v>45675</v>
      </c>
      <c r="I978" s="1" t="str">
        <f>TEXT(Table1[[#This Row],[Admission Date]],"MMMM")</f>
        <v>January</v>
      </c>
      <c r="J978">
        <v>13</v>
      </c>
      <c r="K978">
        <v>115973</v>
      </c>
    </row>
    <row r="979" spans="1:11" x14ac:dyDescent="0.3">
      <c r="A979" t="s">
        <v>1157</v>
      </c>
      <c r="B979" t="s">
        <v>323</v>
      </c>
      <c r="C979">
        <v>65</v>
      </c>
      <c r="D979" t="s">
        <v>13</v>
      </c>
      <c r="E979" t="s">
        <v>31</v>
      </c>
      <c r="F979" t="s">
        <v>20</v>
      </c>
      <c r="G979" s="1">
        <v>46001</v>
      </c>
      <c r="H979" s="1">
        <v>46005</v>
      </c>
      <c r="I979" s="1" t="str">
        <f>TEXT(Table1[[#This Row],[Admission Date]],"MMMM")</f>
        <v>December</v>
      </c>
      <c r="J979">
        <v>4</v>
      </c>
      <c r="K979">
        <v>37116</v>
      </c>
    </row>
    <row r="980" spans="1:11" x14ac:dyDescent="0.3">
      <c r="A980" t="s">
        <v>1158</v>
      </c>
      <c r="B980" t="s">
        <v>362</v>
      </c>
      <c r="C980">
        <v>18</v>
      </c>
      <c r="D980" t="s">
        <v>18</v>
      </c>
      <c r="E980" t="s">
        <v>40</v>
      </c>
      <c r="F980" t="s">
        <v>63</v>
      </c>
      <c r="G980" s="1">
        <v>45865</v>
      </c>
      <c r="H980" s="1">
        <v>45877</v>
      </c>
      <c r="I980" s="1" t="str">
        <f>TEXT(Table1[[#This Row],[Admission Date]],"MMMM")</f>
        <v>July</v>
      </c>
      <c r="J980">
        <v>12</v>
      </c>
      <c r="K980">
        <v>133824</v>
      </c>
    </row>
    <row r="981" spans="1:11" x14ac:dyDescent="0.3">
      <c r="A981" t="s">
        <v>1159</v>
      </c>
      <c r="B981" t="s">
        <v>121</v>
      </c>
      <c r="C981">
        <v>65</v>
      </c>
      <c r="D981" t="s">
        <v>18</v>
      </c>
      <c r="E981" t="s">
        <v>40</v>
      </c>
      <c r="F981" t="s">
        <v>20</v>
      </c>
      <c r="G981" s="1">
        <v>46007</v>
      </c>
      <c r="H981" s="1">
        <v>46022</v>
      </c>
      <c r="I981" s="1" t="str">
        <f>TEXT(Table1[[#This Row],[Admission Date]],"MMMM")</f>
        <v>December</v>
      </c>
      <c r="J981">
        <v>15</v>
      </c>
      <c r="K981">
        <v>149310</v>
      </c>
    </row>
    <row r="982" spans="1:11" x14ac:dyDescent="0.3">
      <c r="A982" t="s">
        <v>1160</v>
      </c>
      <c r="B982" t="s">
        <v>346</v>
      </c>
      <c r="C982">
        <v>24</v>
      </c>
      <c r="D982" t="s">
        <v>18</v>
      </c>
      <c r="E982" t="s">
        <v>34</v>
      </c>
      <c r="F982" t="s">
        <v>24</v>
      </c>
      <c r="G982" s="1">
        <v>45950</v>
      </c>
      <c r="H982" s="1">
        <v>45955</v>
      </c>
      <c r="I982" s="1" t="str">
        <f>TEXT(Table1[[#This Row],[Admission Date]],"MMMM")</f>
        <v>October</v>
      </c>
      <c r="J982">
        <v>5</v>
      </c>
      <c r="K982">
        <v>42950</v>
      </c>
    </row>
    <row r="983" spans="1:11" x14ac:dyDescent="0.3">
      <c r="A983" t="s">
        <v>1161</v>
      </c>
      <c r="B983" t="s">
        <v>140</v>
      </c>
      <c r="C983">
        <v>48</v>
      </c>
      <c r="D983" t="s">
        <v>18</v>
      </c>
      <c r="E983" t="s">
        <v>14</v>
      </c>
      <c r="F983" t="s">
        <v>15</v>
      </c>
      <c r="G983" s="1">
        <v>45796</v>
      </c>
      <c r="H983" s="1">
        <v>45800</v>
      </c>
      <c r="I983" s="1" t="str">
        <f>TEXT(Table1[[#This Row],[Admission Date]],"MMMM")</f>
        <v>May</v>
      </c>
      <c r="J983">
        <v>4</v>
      </c>
      <c r="K983">
        <v>41632</v>
      </c>
    </row>
    <row r="984" spans="1:11" x14ac:dyDescent="0.3">
      <c r="A984" t="s">
        <v>1162</v>
      </c>
      <c r="B984" t="s">
        <v>42</v>
      </c>
      <c r="C984">
        <v>4</v>
      </c>
      <c r="D984" t="s">
        <v>18</v>
      </c>
      <c r="E984" t="s">
        <v>49</v>
      </c>
      <c r="F984" t="s">
        <v>35</v>
      </c>
      <c r="G984" s="1">
        <v>45728</v>
      </c>
      <c r="H984" s="1">
        <v>45735</v>
      </c>
      <c r="I984" s="1" t="str">
        <f>TEXT(Table1[[#This Row],[Admission Date]],"MMMM")</f>
        <v>March</v>
      </c>
      <c r="J984">
        <v>7</v>
      </c>
      <c r="K984">
        <v>70420</v>
      </c>
    </row>
    <row r="985" spans="1:11" x14ac:dyDescent="0.3">
      <c r="A985" t="s">
        <v>1163</v>
      </c>
      <c r="B985" t="s">
        <v>51</v>
      </c>
      <c r="C985">
        <v>18</v>
      </c>
      <c r="D985" t="s">
        <v>13</v>
      </c>
      <c r="E985" t="s">
        <v>103</v>
      </c>
      <c r="F985" t="s">
        <v>35</v>
      </c>
      <c r="G985" s="1">
        <v>45818</v>
      </c>
      <c r="H985" s="1">
        <v>45819</v>
      </c>
      <c r="I985" s="1" t="str">
        <f>TEXT(Table1[[#This Row],[Admission Date]],"MMMM")</f>
        <v>June</v>
      </c>
      <c r="J985">
        <v>1</v>
      </c>
      <c r="K985">
        <v>11338</v>
      </c>
    </row>
    <row r="986" spans="1:11" x14ac:dyDescent="0.3">
      <c r="A986" t="s">
        <v>1164</v>
      </c>
      <c r="B986" t="s">
        <v>62</v>
      </c>
      <c r="C986">
        <v>84</v>
      </c>
      <c r="D986" t="s">
        <v>13</v>
      </c>
      <c r="E986" t="s">
        <v>34</v>
      </c>
      <c r="F986" t="s">
        <v>20</v>
      </c>
      <c r="G986" s="1">
        <v>45806</v>
      </c>
      <c r="H986" s="1">
        <v>45809</v>
      </c>
      <c r="I986" s="1" t="str">
        <f>TEXT(Table1[[#This Row],[Admission Date]],"MMMM")</f>
        <v>May</v>
      </c>
      <c r="J986">
        <v>3</v>
      </c>
      <c r="K986">
        <v>16410</v>
      </c>
    </row>
    <row r="987" spans="1:11" x14ac:dyDescent="0.3">
      <c r="A987" t="s">
        <v>1165</v>
      </c>
      <c r="B987" t="s">
        <v>250</v>
      </c>
      <c r="C987">
        <v>1</v>
      </c>
      <c r="D987" t="s">
        <v>18</v>
      </c>
      <c r="E987" t="s">
        <v>19</v>
      </c>
      <c r="F987" t="s">
        <v>43</v>
      </c>
      <c r="G987" s="1">
        <v>45731</v>
      </c>
      <c r="H987" s="1">
        <v>45734</v>
      </c>
      <c r="I987" s="1" t="str">
        <f>TEXT(Table1[[#This Row],[Admission Date]],"MMMM")</f>
        <v>March</v>
      </c>
      <c r="J987">
        <v>3</v>
      </c>
      <c r="K987">
        <v>23382</v>
      </c>
    </row>
    <row r="988" spans="1:11" x14ac:dyDescent="0.3">
      <c r="A988" t="s">
        <v>1166</v>
      </c>
      <c r="B988" t="s">
        <v>147</v>
      </c>
      <c r="C988">
        <v>44</v>
      </c>
      <c r="D988" t="s">
        <v>13</v>
      </c>
      <c r="E988" t="s">
        <v>103</v>
      </c>
      <c r="F988" t="s">
        <v>20</v>
      </c>
      <c r="G988" s="1">
        <v>45957</v>
      </c>
      <c r="H988" s="1">
        <v>45971</v>
      </c>
      <c r="I988" s="1" t="str">
        <f>TEXT(Table1[[#This Row],[Admission Date]],"MMMM")</f>
        <v>October</v>
      </c>
      <c r="J988">
        <v>14</v>
      </c>
      <c r="K988">
        <v>57722</v>
      </c>
    </row>
    <row r="989" spans="1:11" x14ac:dyDescent="0.3">
      <c r="A989" t="s">
        <v>1167</v>
      </c>
      <c r="B989" t="s">
        <v>55</v>
      </c>
      <c r="C989">
        <v>49</v>
      </c>
      <c r="D989" t="s">
        <v>13</v>
      </c>
      <c r="E989" t="s">
        <v>31</v>
      </c>
      <c r="F989" t="s">
        <v>35</v>
      </c>
      <c r="G989" s="1">
        <v>45732</v>
      </c>
      <c r="H989" s="1">
        <v>45738</v>
      </c>
      <c r="I989" s="1" t="str">
        <f>TEXT(Table1[[#This Row],[Admission Date]],"MMMM")</f>
        <v>March</v>
      </c>
      <c r="J989">
        <v>6</v>
      </c>
      <c r="K989">
        <v>55728</v>
      </c>
    </row>
    <row r="990" spans="1:11" x14ac:dyDescent="0.3">
      <c r="A990" t="s">
        <v>1168</v>
      </c>
      <c r="B990" t="s">
        <v>182</v>
      </c>
      <c r="C990">
        <v>73</v>
      </c>
      <c r="D990" t="s">
        <v>18</v>
      </c>
      <c r="E990" t="s">
        <v>103</v>
      </c>
      <c r="F990" t="s">
        <v>20</v>
      </c>
      <c r="G990" s="1">
        <v>45696</v>
      </c>
      <c r="H990" s="1">
        <v>45704</v>
      </c>
      <c r="I990" s="1" t="str">
        <f>TEXT(Table1[[#This Row],[Admission Date]],"MMMM")</f>
        <v>February</v>
      </c>
      <c r="J990">
        <v>8</v>
      </c>
      <c r="K990">
        <v>65416</v>
      </c>
    </row>
    <row r="991" spans="1:11" x14ac:dyDescent="0.3">
      <c r="A991" t="s">
        <v>1169</v>
      </c>
      <c r="B991" t="s">
        <v>218</v>
      </c>
      <c r="C991">
        <v>44</v>
      </c>
      <c r="D991" t="s">
        <v>13</v>
      </c>
      <c r="E991" t="s">
        <v>23</v>
      </c>
      <c r="F991" t="s">
        <v>63</v>
      </c>
      <c r="G991" s="1">
        <v>46021</v>
      </c>
      <c r="H991" s="1">
        <v>46022</v>
      </c>
      <c r="I991" s="1" t="str">
        <f>TEXT(Table1[[#This Row],[Admission Date]],"MMMM")</f>
        <v>December</v>
      </c>
      <c r="J991">
        <v>1</v>
      </c>
      <c r="K991">
        <v>10213</v>
      </c>
    </row>
    <row r="992" spans="1:11" x14ac:dyDescent="0.3">
      <c r="A992" t="s">
        <v>1170</v>
      </c>
      <c r="B992" t="s">
        <v>105</v>
      </c>
      <c r="C992">
        <v>4</v>
      </c>
      <c r="D992" t="s">
        <v>13</v>
      </c>
      <c r="E992" t="s">
        <v>49</v>
      </c>
      <c r="F992" t="s">
        <v>28</v>
      </c>
      <c r="G992" s="1">
        <v>45938</v>
      </c>
      <c r="H992" s="1">
        <v>45950</v>
      </c>
      <c r="I992" s="1" t="str">
        <f>TEXT(Table1[[#This Row],[Admission Date]],"MMMM")</f>
        <v>October</v>
      </c>
      <c r="J992">
        <v>12</v>
      </c>
      <c r="K992">
        <v>100488</v>
      </c>
    </row>
    <row r="993" spans="1:11" x14ac:dyDescent="0.3">
      <c r="A993" t="s">
        <v>1171</v>
      </c>
      <c r="B993" t="s">
        <v>39</v>
      </c>
      <c r="C993">
        <v>79</v>
      </c>
      <c r="D993" t="s">
        <v>18</v>
      </c>
      <c r="E993" t="s">
        <v>40</v>
      </c>
      <c r="F993" t="s">
        <v>60</v>
      </c>
      <c r="G993" s="1">
        <v>45920</v>
      </c>
      <c r="H993" s="1">
        <v>45934</v>
      </c>
      <c r="I993" s="1" t="str">
        <f>TEXT(Table1[[#This Row],[Admission Date]],"MMMM")</f>
        <v>September</v>
      </c>
      <c r="J993">
        <v>14</v>
      </c>
      <c r="K993">
        <v>90342</v>
      </c>
    </row>
    <row r="994" spans="1:11" x14ac:dyDescent="0.3">
      <c r="A994" t="s">
        <v>1172</v>
      </c>
      <c r="B994" t="s">
        <v>128</v>
      </c>
      <c r="C994">
        <v>30</v>
      </c>
      <c r="D994" t="s">
        <v>13</v>
      </c>
      <c r="E994" t="s">
        <v>40</v>
      </c>
      <c r="F994" t="s">
        <v>15</v>
      </c>
      <c r="G994" s="1">
        <v>45685</v>
      </c>
      <c r="H994" s="1">
        <v>45700</v>
      </c>
      <c r="I994" s="1" t="str">
        <f>TEXT(Table1[[#This Row],[Admission Date]],"MMMM")</f>
        <v>January</v>
      </c>
      <c r="J994">
        <v>15</v>
      </c>
      <c r="K994">
        <v>107160</v>
      </c>
    </row>
    <row r="995" spans="1:11" x14ac:dyDescent="0.3">
      <c r="A995" t="s">
        <v>1173</v>
      </c>
      <c r="B995" t="s">
        <v>239</v>
      </c>
      <c r="C995">
        <v>42</v>
      </c>
      <c r="D995" t="s">
        <v>13</v>
      </c>
      <c r="E995" t="s">
        <v>27</v>
      </c>
      <c r="F995" t="s">
        <v>60</v>
      </c>
      <c r="G995" s="1">
        <v>45723</v>
      </c>
      <c r="H995" s="1">
        <v>45738</v>
      </c>
      <c r="I995" s="1" t="str">
        <f>TEXT(Table1[[#This Row],[Admission Date]],"MMMM")</f>
        <v>March</v>
      </c>
      <c r="J995">
        <v>15</v>
      </c>
      <c r="K995">
        <v>67995</v>
      </c>
    </row>
    <row r="996" spans="1:11" x14ac:dyDescent="0.3">
      <c r="A996" t="s">
        <v>1174</v>
      </c>
      <c r="B996" t="s">
        <v>284</v>
      </c>
      <c r="C996">
        <v>27</v>
      </c>
      <c r="D996" t="s">
        <v>13</v>
      </c>
      <c r="E996" t="s">
        <v>49</v>
      </c>
      <c r="F996" t="s">
        <v>15</v>
      </c>
      <c r="G996" s="1">
        <v>45714</v>
      </c>
      <c r="H996" s="1">
        <v>45719</v>
      </c>
      <c r="I996" s="1" t="str">
        <f>TEXT(Table1[[#This Row],[Admission Date]],"MMMM")</f>
        <v>February</v>
      </c>
      <c r="J996">
        <v>5</v>
      </c>
      <c r="K996">
        <v>48365</v>
      </c>
    </row>
    <row r="997" spans="1:11" x14ac:dyDescent="0.3">
      <c r="A997" t="s">
        <v>1175</v>
      </c>
      <c r="B997" t="s">
        <v>155</v>
      </c>
      <c r="C997">
        <v>10</v>
      </c>
      <c r="D997" t="s">
        <v>18</v>
      </c>
      <c r="E997" t="s">
        <v>46</v>
      </c>
      <c r="F997" t="s">
        <v>20</v>
      </c>
      <c r="G997" s="1">
        <v>45792</v>
      </c>
      <c r="H997" s="1">
        <v>45802</v>
      </c>
      <c r="I997" s="1" t="str">
        <f>TEXT(Table1[[#This Row],[Admission Date]],"MMMM")</f>
        <v>May</v>
      </c>
      <c r="J997">
        <v>10</v>
      </c>
      <c r="K997">
        <v>82890</v>
      </c>
    </row>
    <row r="998" spans="1:11" x14ac:dyDescent="0.3">
      <c r="A998" t="s">
        <v>1176</v>
      </c>
      <c r="B998" t="s">
        <v>691</v>
      </c>
      <c r="C998">
        <v>65</v>
      </c>
      <c r="D998" t="s">
        <v>18</v>
      </c>
      <c r="E998" t="s">
        <v>49</v>
      </c>
      <c r="F998" t="s">
        <v>60</v>
      </c>
      <c r="G998" s="1">
        <v>45829</v>
      </c>
      <c r="H998" s="1">
        <v>45836</v>
      </c>
      <c r="I998" s="1" t="str">
        <f>TEXT(Table1[[#This Row],[Admission Date]],"MMMM")</f>
        <v>June</v>
      </c>
      <c r="J998">
        <v>7</v>
      </c>
      <c r="K998">
        <v>70637</v>
      </c>
    </row>
    <row r="999" spans="1:11" x14ac:dyDescent="0.3">
      <c r="A999" t="s">
        <v>1177</v>
      </c>
      <c r="B999" t="s">
        <v>268</v>
      </c>
      <c r="C999">
        <v>10</v>
      </c>
      <c r="D999" t="s">
        <v>13</v>
      </c>
      <c r="E999" t="s">
        <v>49</v>
      </c>
      <c r="F999" t="s">
        <v>43</v>
      </c>
      <c r="G999" s="1">
        <v>45804</v>
      </c>
      <c r="H999" s="1">
        <v>45817</v>
      </c>
      <c r="I999" s="1" t="str">
        <f>TEXT(Table1[[#This Row],[Admission Date]],"MMMM")</f>
        <v>May</v>
      </c>
      <c r="J999">
        <v>13</v>
      </c>
      <c r="K999">
        <v>123084</v>
      </c>
    </row>
    <row r="1000" spans="1:11" x14ac:dyDescent="0.3">
      <c r="A1000" t="s">
        <v>1178</v>
      </c>
      <c r="B1000" t="s">
        <v>232</v>
      </c>
      <c r="C1000">
        <v>89</v>
      </c>
      <c r="D1000" t="s">
        <v>18</v>
      </c>
      <c r="E1000" t="s">
        <v>14</v>
      </c>
      <c r="F1000" t="s">
        <v>60</v>
      </c>
      <c r="G1000" s="1">
        <v>45741</v>
      </c>
      <c r="H1000" s="1">
        <v>45752</v>
      </c>
      <c r="I1000" s="1" t="str">
        <f>TEXT(Table1[[#This Row],[Admission Date]],"MMMM")</f>
        <v>March</v>
      </c>
      <c r="J1000">
        <v>11</v>
      </c>
      <c r="K1000">
        <v>71687</v>
      </c>
    </row>
    <row r="1001" spans="1:11" x14ac:dyDescent="0.3">
      <c r="A1001" t="s">
        <v>1179</v>
      </c>
      <c r="B1001" t="s">
        <v>119</v>
      </c>
      <c r="C1001">
        <v>40</v>
      </c>
      <c r="D1001" t="s">
        <v>18</v>
      </c>
      <c r="E1001" t="s">
        <v>14</v>
      </c>
      <c r="F1001" t="s">
        <v>28</v>
      </c>
      <c r="G1001" s="1">
        <v>45913</v>
      </c>
      <c r="H1001" s="1">
        <v>45919</v>
      </c>
      <c r="I1001" s="1" t="str">
        <f>TEXT(Table1[[#This Row],[Admission Date]],"MMMM")</f>
        <v>September</v>
      </c>
      <c r="J1001">
        <v>6</v>
      </c>
      <c r="K1001">
        <v>25398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sqref="A1:C10"/>
    </sheetView>
  </sheetViews>
  <sheetFormatPr defaultRowHeight="14.4" x14ac:dyDescent="0.3"/>
  <sheetData>
    <row r="1" spans="1:3" ht="28.8" x14ac:dyDescent="0.3">
      <c r="A1" s="10" t="s">
        <v>13</v>
      </c>
      <c r="B1" s="11" t="s">
        <v>49</v>
      </c>
      <c r="C1" s="12" t="s">
        <v>35</v>
      </c>
    </row>
    <row r="2" spans="1:3" x14ac:dyDescent="0.3">
      <c r="A2" s="13" t="s">
        <v>18</v>
      </c>
      <c r="B2" s="14" t="s">
        <v>23</v>
      </c>
      <c r="C2" s="15" t="s">
        <v>15</v>
      </c>
    </row>
    <row r="3" spans="1:3" ht="28.8" x14ac:dyDescent="0.3">
      <c r="A3" s="10"/>
      <c r="B3" s="11" t="s">
        <v>103</v>
      </c>
      <c r="C3" s="12" t="s">
        <v>63</v>
      </c>
    </row>
    <row r="4" spans="1:3" ht="28.8" x14ac:dyDescent="0.3">
      <c r="A4" s="13"/>
      <c r="B4" s="14" t="s">
        <v>46</v>
      </c>
      <c r="C4" s="15" t="s">
        <v>28</v>
      </c>
    </row>
    <row r="5" spans="1:3" x14ac:dyDescent="0.3">
      <c r="A5" s="10"/>
      <c r="B5" s="11" t="s">
        <v>34</v>
      </c>
      <c r="C5" s="12" t="s">
        <v>43</v>
      </c>
    </row>
    <row r="6" spans="1:3" ht="28.8" x14ac:dyDescent="0.3">
      <c r="A6" s="13"/>
      <c r="B6" s="14" t="s">
        <v>40</v>
      </c>
      <c r="C6" s="15" t="s">
        <v>60</v>
      </c>
    </row>
    <row r="7" spans="1:3" ht="28.8" x14ac:dyDescent="0.3">
      <c r="A7" s="10"/>
      <c r="B7" s="11" t="s">
        <v>31</v>
      </c>
      <c r="C7" s="12" t="s">
        <v>24</v>
      </c>
    </row>
    <row r="8" spans="1:3" ht="28.8" x14ac:dyDescent="0.3">
      <c r="A8" s="13"/>
      <c r="B8" s="14" t="s">
        <v>14</v>
      </c>
      <c r="C8" s="15" t="s">
        <v>20</v>
      </c>
    </row>
    <row r="9" spans="1:3" ht="28.8" x14ac:dyDescent="0.3">
      <c r="A9" s="10"/>
      <c r="B9" s="11" t="s">
        <v>19</v>
      </c>
      <c r="C9" s="12"/>
    </row>
    <row r="10" spans="1:3" ht="28.8" x14ac:dyDescent="0.3">
      <c r="A10" s="16"/>
      <c r="B10" s="17" t="s">
        <v>27</v>
      </c>
      <c r="C10"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1"/>
  <sheetViews>
    <sheetView workbookViewId="0">
      <selection activeCell="B19" sqref="B19"/>
    </sheetView>
  </sheetViews>
  <sheetFormatPr defaultRowHeight="14.4" x14ac:dyDescent="0.3"/>
  <cols>
    <col min="1" max="1" width="13.109375" bestFit="1" customWidth="1"/>
    <col min="2" max="2" width="18" bestFit="1" customWidth="1"/>
    <col min="3" max="3" width="6.109375" customWidth="1"/>
    <col min="4" max="4" width="13.109375" customWidth="1"/>
    <col min="5" max="5" width="10.44140625" customWidth="1"/>
    <col min="6" max="6" width="6.109375" customWidth="1"/>
    <col min="7" max="7" width="13.109375" customWidth="1"/>
    <col min="8" max="8" width="18" customWidth="1"/>
    <col min="9" max="9" width="6.109375" customWidth="1"/>
    <col min="10" max="10" width="13.33203125" customWidth="1"/>
    <col min="11" max="11" width="18" customWidth="1"/>
    <col min="12" max="1001" width="6.109375" customWidth="1"/>
    <col min="1002" max="1002" width="11.33203125" bestFit="1" customWidth="1"/>
  </cols>
  <sheetData>
    <row r="3" spans="1:11" x14ac:dyDescent="0.3">
      <c r="A3" s="2" t="s">
        <v>1200</v>
      </c>
      <c r="B3" t="s">
        <v>1180</v>
      </c>
      <c r="D3" s="2" t="s">
        <v>1200</v>
      </c>
      <c r="E3" t="s">
        <v>1181</v>
      </c>
      <c r="G3" s="2" t="s">
        <v>1200</v>
      </c>
      <c r="H3" t="s">
        <v>1180</v>
      </c>
      <c r="J3" s="2" t="s">
        <v>1200</v>
      </c>
      <c r="K3" t="s">
        <v>1180</v>
      </c>
    </row>
    <row r="4" spans="1:11" x14ac:dyDescent="0.3">
      <c r="A4" s="4" t="s">
        <v>60</v>
      </c>
      <c r="B4" s="3">
        <v>124</v>
      </c>
      <c r="D4" s="4" t="s">
        <v>60</v>
      </c>
      <c r="E4" s="3">
        <v>8419154</v>
      </c>
      <c r="G4" s="4" t="s">
        <v>1186</v>
      </c>
      <c r="H4" s="3">
        <v>89</v>
      </c>
      <c r="J4" s="4" t="s">
        <v>46</v>
      </c>
      <c r="K4" s="3">
        <v>102</v>
      </c>
    </row>
    <row r="5" spans="1:11" x14ac:dyDescent="0.3">
      <c r="A5" s="4" t="s">
        <v>43</v>
      </c>
      <c r="B5" s="3">
        <v>108</v>
      </c>
      <c r="D5" s="4" t="s">
        <v>43</v>
      </c>
      <c r="E5" s="3">
        <v>6521011</v>
      </c>
      <c r="G5" s="4" t="s">
        <v>1190</v>
      </c>
      <c r="H5" s="3">
        <v>75</v>
      </c>
      <c r="J5" s="4" t="s">
        <v>34</v>
      </c>
      <c r="K5" s="3">
        <v>106</v>
      </c>
    </row>
    <row r="6" spans="1:11" x14ac:dyDescent="0.3">
      <c r="A6" s="4" t="s">
        <v>20</v>
      </c>
      <c r="B6" s="3">
        <v>131</v>
      </c>
      <c r="D6" s="4" t="s">
        <v>20</v>
      </c>
      <c r="E6" s="3">
        <v>8859463</v>
      </c>
      <c r="G6" s="4" t="s">
        <v>1194</v>
      </c>
      <c r="H6" s="3">
        <v>90</v>
      </c>
      <c r="J6" s="4" t="s">
        <v>31</v>
      </c>
      <c r="K6" s="3">
        <v>83</v>
      </c>
    </row>
    <row r="7" spans="1:11" x14ac:dyDescent="0.3">
      <c r="A7" s="4" t="s">
        <v>15</v>
      </c>
      <c r="B7" s="3">
        <v>122</v>
      </c>
      <c r="D7" s="4" t="s">
        <v>15</v>
      </c>
      <c r="E7" s="3">
        <v>8118079</v>
      </c>
      <c r="G7" s="4" t="s">
        <v>1184</v>
      </c>
      <c r="H7" s="3">
        <v>76</v>
      </c>
      <c r="J7" s="4" t="s">
        <v>23</v>
      </c>
      <c r="K7" s="3">
        <v>104</v>
      </c>
    </row>
    <row r="8" spans="1:11" x14ac:dyDescent="0.3">
      <c r="A8" s="4" t="s">
        <v>24</v>
      </c>
      <c r="B8" s="3">
        <v>125</v>
      </c>
      <c r="D8" s="4" t="s">
        <v>24</v>
      </c>
      <c r="E8" s="3">
        <v>8474026</v>
      </c>
      <c r="G8" s="4" t="s">
        <v>1183</v>
      </c>
      <c r="H8" s="3">
        <v>92</v>
      </c>
      <c r="J8" s="4" t="s">
        <v>49</v>
      </c>
      <c r="K8" s="3">
        <v>102</v>
      </c>
    </row>
    <row r="9" spans="1:11" x14ac:dyDescent="0.3">
      <c r="A9" s="4" t="s">
        <v>35</v>
      </c>
      <c r="B9" s="3">
        <v>133</v>
      </c>
      <c r="D9" s="4" t="s">
        <v>35</v>
      </c>
      <c r="E9" s="3">
        <v>7894923</v>
      </c>
      <c r="G9" s="4" t="s">
        <v>1189</v>
      </c>
      <c r="H9" s="3">
        <v>86</v>
      </c>
      <c r="J9" s="4" t="s">
        <v>27</v>
      </c>
      <c r="K9" s="3">
        <v>110</v>
      </c>
    </row>
    <row r="10" spans="1:11" x14ac:dyDescent="0.3">
      <c r="A10" s="4" t="s">
        <v>63</v>
      </c>
      <c r="B10" s="3">
        <v>116</v>
      </c>
      <c r="D10" s="4" t="s">
        <v>63</v>
      </c>
      <c r="E10" s="3">
        <v>6933121</v>
      </c>
      <c r="G10" s="4" t="s">
        <v>1188</v>
      </c>
      <c r="H10" s="3">
        <v>70</v>
      </c>
      <c r="J10" s="4" t="s">
        <v>103</v>
      </c>
      <c r="K10" s="3">
        <v>97</v>
      </c>
    </row>
    <row r="11" spans="1:11" x14ac:dyDescent="0.3">
      <c r="A11" s="4" t="s">
        <v>28</v>
      </c>
      <c r="B11" s="3">
        <v>141</v>
      </c>
      <c r="D11" s="4" t="s">
        <v>28</v>
      </c>
      <c r="E11" s="3">
        <v>8447086</v>
      </c>
      <c r="G11" s="4" t="s">
        <v>1185</v>
      </c>
      <c r="H11" s="3">
        <v>84</v>
      </c>
      <c r="J11" s="4" t="s">
        <v>19</v>
      </c>
      <c r="K11" s="3">
        <v>88</v>
      </c>
    </row>
    <row r="12" spans="1:11" x14ac:dyDescent="0.3">
      <c r="A12" s="4" t="s">
        <v>1182</v>
      </c>
      <c r="B12" s="3">
        <v>1000</v>
      </c>
      <c r="D12" s="4" t="s">
        <v>1182</v>
      </c>
      <c r="E12" s="3">
        <v>63666863</v>
      </c>
      <c r="G12" s="4" t="s">
        <v>1187</v>
      </c>
      <c r="H12" s="3">
        <v>82</v>
      </c>
      <c r="J12" s="4" t="s">
        <v>14</v>
      </c>
      <c r="K12" s="3">
        <v>107</v>
      </c>
    </row>
    <row r="13" spans="1:11" x14ac:dyDescent="0.3">
      <c r="G13" s="4" t="s">
        <v>1193</v>
      </c>
      <c r="H13" s="3">
        <v>79</v>
      </c>
      <c r="J13" s="4" t="s">
        <v>40</v>
      </c>
      <c r="K13" s="3">
        <v>101</v>
      </c>
    </row>
    <row r="14" spans="1:11" x14ac:dyDescent="0.3">
      <c r="G14" s="4" t="s">
        <v>1192</v>
      </c>
      <c r="H14" s="3">
        <v>82</v>
      </c>
      <c r="J14" s="4" t="s">
        <v>1182</v>
      </c>
      <c r="K14" s="3">
        <v>1000</v>
      </c>
    </row>
    <row r="15" spans="1:11" x14ac:dyDescent="0.3">
      <c r="G15" s="4" t="s">
        <v>1191</v>
      </c>
      <c r="H15" s="3">
        <v>95</v>
      </c>
    </row>
    <row r="16" spans="1:11" x14ac:dyDescent="0.3">
      <c r="G16" s="4" t="s">
        <v>1182</v>
      </c>
      <c r="H16" s="3">
        <v>1000</v>
      </c>
    </row>
    <row r="18" spans="1:2" x14ac:dyDescent="0.3">
      <c r="A18" s="2" t="s">
        <v>1200</v>
      </c>
      <c r="B18" t="s">
        <v>1180</v>
      </c>
    </row>
    <row r="19" spans="1:2" x14ac:dyDescent="0.3">
      <c r="A19" s="4" t="s">
        <v>18</v>
      </c>
      <c r="B19" s="3">
        <v>489</v>
      </c>
    </row>
    <row r="20" spans="1:2" x14ac:dyDescent="0.3">
      <c r="A20" s="4" t="s">
        <v>13</v>
      </c>
      <c r="B20" s="3">
        <v>511</v>
      </c>
    </row>
    <row r="21" spans="1:2" x14ac:dyDescent="0.3">
      <c r="A21" s="4" t="s">
        <v>1182</v>
      </c>
      <c r="B21" s="3">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
  <sheetViews>
    <sheetView tabSelected="1" zoomScale="85" zoomScaleNormal="85" workbookViewId="0">
      <selection activeCell="E4" sqref="E4:E5"/>
    </sheetView>
  </sheetViews>
  <sheetFormatPr defaultRowHeight="14.4" x14ac:dyDescent="0.3"/>
  <cols>
    <col min="1" max="1" width="13.33203125" bestFit="1" customWidth="1"/>
    <col min="4" max="4" width="13.6640625" bestFit="1" customWidth="1"/>
    <col min="5" max="5" width="16.33203125" bestFit="1" customWidth="1"/>
    <col min="7" max="7" width="12.44140625" bestFit="1" customWidth="1"/>
    <col min="10" max="10" width="11.44140625" bestFit="1" customWidth="1"/>
    <col min="11" max="11" width="12.44140625" bestFit="1" customWidth="1"/>
  </cols>
  <sheetData>
    <row r="1" spans="1:26" ht="15" customHeight="1" x14ac:dyDescent="0.3">
      <c r="A1" s="8" t="s">
        <v>1195</v>
      </c>
      <c r="B1" s="8"/>
      <c r="C1" s="8"/>
      <c r="D1" s="8"/>
      <c r="E1" s="8"/>
      <c r="F1" s="8"/>
      <c r="G1" s="8"/>
      <c r="H1" s="8"/>
      <c r="I1" s="8"/>
      <c r="J1" s="8"/>
      <c r="K1" s="8"/>
      <c r="L1" s="8"/>
      <c r="M1" s="8"/>
      <c r="N1" s="8"/>
      <c r="O1" s="8"/>
      <c r="P1" s="8"/>
      <c r="Q1" s="8"/>
      <c r="R1" s="8"/>
      <c r="S1" s="8"/>
      <c r="T1" s="8"/>
      <c r="U1" s="8"/>
      <c r="V1" s="8"/>
      <c r="W1" s="8"/>
      <c r="X1" s="8"/>
      <c r="Y1" s="8"/>
      <c r="Z1" s="8"/>
    </row>
    <row r="2" spans="1:26" x14ac:dyDescent="0.3">
      <c r="A2" s="8"/>
      <c r="B2" s="8"/>
      <c r="C2" s="8"/>
      <c r="D2" s="8"/>
      <c r="E2" s="8"/>
      <c r="F2" s="8"/>
      <c r="G2" s="8"/>
      <c r="H2" s="8"/>
      <c r="I2" s="8"/>
      <c r="J2" s="8"/>
      <c r="K2" s="8"/>
      <c r="L2" s="8"/>
      <c r="M2" s="8"/>
      <c r="N2" s="8"/>
      <c r="O2" s="8"/>
      <c r="P2" s="8"/>
      <c r="Q2" s="8"/>
      <c r="R2" s="8"/>
      <c r="S2" s="8"/>
      <c r="T2" s="8"/>
      <c r="U2" s="8"/>
      <c r="V2" s="8"/>
      <c r="W2" s="8"/>
      <c r="X2" s="8"/>
      <c r="Y2" s="8"/>
      <c r="Z2" s="8"/>
    </row>
    <row r="4" spans="1:26" x14ac:dyDescent="0.3">
      <c r="A4" s="9" t="s">
        <v>1196</v>
      </c>
      <c r="B4" s="5">
        <f>COUNTA(Hospital_Data!A:A)-1</f>
        <v>1000</v>
      </c>
      <c r="D4" s="9" t="s">
        <v>1197</v>
      </c>
      <c r="E4" s="7">
        <f>SUM(Hospital_Data!K:K)</f>
        <v>63666863</v>
      </c>
      <c r="G4" s="9" t="s">
        <v>1198</v>
      </c>
      <c r="H4" s="5">
        <f>AVERAGE(Hospital_Data!J:J)</f>
        <v>7.9089999999999998</v>
      </c>
      <c r="J4" s="6" t="s">
        <v>1199</v>
      </c>
      <c r="K4" s="7">
        <f>AVERAGE(Hospital_Data!K:K)</f>
        <v>63666.862999999998</v>
      </c>
    </row>
    <row r="5" spans="1:26" x14ac:dyDescent="0.3">
      <c r="A5" s="9"/>
      <c r="B5" s="5"/>
      <c r="D5" s="9"/>
      <c r="E5" s="7"/>
      <c r="G5" s="9"/>
      <c r="H5" s="5"/>
      <c r="J5" s="6"/>
      <c r="K5" s="7"/>
    </row>
  </sheetData>
  <mergeCells count="9">
    <mergeCell ref="H4:H5"/>
    <mergeCell ref="J4:J5"/>
    <mergeCell ref="K4:K5"/>
    <mergeCell ref="A1:Z2"/>
    <mergeCell ref="A4:A5"/>
    <mergeCell ref="B4:B5"/>
    <mergeCell ref="D4:D5"/>
    <mergeCell ref="E4:E5"/>
    <mergeCell ref="G4:G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Hospital_Data</vt:lpstr>
      <vt:lpstr>Lists</vt:lpstr>
      <vt:lpstr>Pivot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Prabhat Kumar</cp:lastModifiedBy>
  <cp:revision/>
  <dcterms:created xsi:type="dcterms:W3CDTF">2026-06-29T05:16:48Z</dcterms:created>
  <dcterms:modified xsi:type="dcterms:W3CDTF">2026-06-30T05:46:30Z</dcterms:modified>
  <cp:category/>
  <cp:contentStatus/>
</cp:coreProperties>
</file>